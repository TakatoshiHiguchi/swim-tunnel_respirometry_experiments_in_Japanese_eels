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3e38cb1c444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_S3" sheetId="1" r:id="R2cade5f9294944cd"/>
    <x:sheet xmlns:r="http://schemas.openxmlformats.org/officeDocument/2006/relationships" name="Speed_n_summary" sheetId="2" r:id="Rf8aa574ca5bb4f8d"/>
    <x:sheet xmlns:r="http://schemas.openxmlformats.org/officeDocument/2006/relationships" name="Coverage_by_trial" sheetId="3" r:id="R64460a35255c46c2"/>
    <x:sheet xmlns:r="http://schemas.openxmlformats.org/officeDocument/2006/relationships" name="README_S3" sheetId="4" r:id="R45dee3bfdced405b"/>
    <x:sheet xmlns:r="http://schemas.openxmlformats.org/officeDocument/2006/relationships" name="VariableDictionary" sheetId="5" r:id="R9ce103ce34794555"/>
    <x:sheet xmlns:r="http://schemas.openxmlformats.org/officeDocument/2006/relationships" name="QC_check" sheetId="6" r:id="R0c74a52deb0e40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dda6eefcd74357" /><Relationship Type="http://schemas.openxmlformats.org/officeDocument/2006/relationships/theme" Target="/xl/theme/theme1.xml" Id="Rde08e4ac914844e8" /><Relationship Type="http://schemas.microsoft.com/office/2022/11/relationships/FeaturePropertyBag" Target="/xl/featurePropertyBag/featurePropertyBag.xml" Id="Rb252746fa2c945ce" /><Relationship Type="http://schemas.openxmlformats.org/officeDocument/2006/relationships/sharedStrings" Target="/xl/sharedStrings.xml" Id="R1149eb2856ef4b6b" /><Relationship Type="http://schemas.openxmlformats.org/officeDocument/2006/relationships/worksheet" Target="/xl/worksheets/sheet1.xml" Id="R2cade5f9294944cd" /><Relationship Type="http://schemas.openxmlformats.org/officeDocument/2006/relationships/worksheet" Target="/xl/worksheets/sheet2.xml" Id="Rf8aa574ca5bb4f8d" /><Relationship Type="http://schemas.openxmlformats.org/officeDocument/2006/relationships/worksheet" Target="/xl/worksheets/sheet3.xml" Id="R64460a35255c46c2" /><Relationship Type="http://schemas.openxmlformats.org/officeDocument/2006/relationships/worksheet" Target="/xl/worksheets/sheet4.xml" Id="R45dee3bfdced405b" /><Relationship Type="http://schemas.openxmlformats.org/officeDocument/2006/relationships/worksheet" Target="/xl/worksheets/sheet5.xml" Id="R9ce103ce34794555" /><Relationship Type="http://schemas.openxmlformats.org/officeDocument/2006/relationships/worksheet" Target="/xl/worksheets/sheet6.xml" Id="R0c74a52deb0e40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eS3" displayName="TableS3" ref="A1:AB147" headerRowCount="1">
  <x:tableColumns count="28">
    <x:tableColumn id="1" name="fish_code"/>
    <x:tableColumn id="2" name="trial_id"/>
    <x:tableColumn id="3" name="experiment_month"/>
    <x:tableColumn id="4" name="cohort_id"/>
    <x:tableColumn id="5" name="silvering_stage"/>
    <x:tableColumn id="6" name="trial_order"/>
    <x:tableColumn id="7" name="experimental_condition"/>
    <x:tableColumn id="8" name="water_medium"/>
    <x:tableColumn id="9" name="temperature_c"/>
    <x:tableColumn id="10" name="tl_used_cm"/>
    <x:tableColumn id="11" name="bw_used_g"/>
    <x:tableColumn id="12" name="swimming_speed_m_s"/>
    <x:tableColumn id="13" name="swimming_speed_tl_s"/>
    <x:tableColumn id="14" name="mo2_mg_o2_kg_h"/>
    <x:tableColumn id="15" name="cot_mg_o2_kg_km"/>
    <x:tableColumn id="16" name="is_lowflow_0_1_m_s"/>
    <x:tableColumn id="17" name="is_active_speed"/>
    <x:tableColumn id="18" name="is_uopt_speed"/>
    <x:tableColumn id="19" name="used_for_active_metrics"/>
    <x:tableColumn id="20" name="speed_step_status"/>
    <x:tableColumn id="21" name="table_s2_uopt_m_s"/>
    <x:tableColumn id="22" name="table_s2_mincot_mg_o2_kg_km"/>
    <x:tableColumn id="23" name="table_s2_mo2_at_uopt_mg_o2_kg_h"/>
    <x:tableColumn id="24" name="uopt_position_flag"/>
    <x:tableColumn id="25" name="active_metrics_status"/>
    <x:tableColumn id="26" name="source_raw_mo2_row"/>
    <x:tableColumn id="27" name="source_raw_cot_row"/>
    <x:tableColumn id="2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peedNSummary" displayName="SpeedNSummary" ref="A1:G46" headerRowCount="1">
  <x:tableColumns count="7">
    <x:tableColumn id="1" name="experimental_condition"/>
    <x:tableColumn id="2" name="silvering_stage"/>
    <x:tableColumn id="3" name="swimming_speed_m_s"/>
    <x:tableColumn id="4" name="n_trials_with_mo2"/>
    <x:tableColumn id="5" name="n_trials_with_cot"/>
    <x:tableColumn id="6" name="n_trials_used_for_active_metrics"/>
    <x:tableColumn id="7" name="n_uopt_speed"/>
  </x:tableColumns>
  <x:tableStyleInfo name="TableStyleMedium2" showRowStripes="1"/>
</x:table>
</file>

<file path=xl/tables/table3.xml><?xml version="1.0" encoding="utf-8"?>
<x:table xmlns:x="http://schemas.openxmlformats.org/spreadsheetml/2006/main" id="3" name="CoverageByTrial" displayName="CoverageByTrial" ref="A1:L36" headerRowCount="1">
  <x:tableColumns count="12">
    <x:tableColumn id="1" name="fish_code"/>
    <x:tableColumn id="2" name="trial_id"/>
    <x:tableColumn id="3" name="experimental_condition"/>
    <x:tableColumn id="4" name="silvering_stage"/>
    <x:tableColumn id="5" name="n_lowflow_rows"/>
    <x:tableColumn id="6" name="n_active_rows"/>
    <x:tableColumn id="7" name="n_total_speed_rows"/>
    <x:tableColumn id="8" name="table_s2_n_active_speed_steps"/>
    <x:tableColumn id="9" name="lowflow_status"/>
    <x:tableColumn id="10" name="active_metrics_status"/>
    <x:tableColumn id="11" name="coverage_status"/>
    <x:tableColumn id="12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QCCheck" displayName="QCCheck" ref="A1:C13" headerRowCount="1">
  <x:tableColumns count="3">
    <x:tableColumn id="1" name="Check"/>
    <x:tableColumn id="2" name="Result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36448a9e8a46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2a3d7210084f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7898d93da5d40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e052e4e0f044c4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0" hidden="0" customWidth="1"/>
    <x:col min="5" max="5" width="12" hidden="0" customWidth="1"/>
    <x:col min="6" max="6" width="10" hidden="0" customWidth="1"/>
    <x:col min="7" max="7" width="18" hidden="0" customWidth="1"/>
    <x:col min="8" max="8" width="16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6" hidden="0" customWidth="1"/>
    <x:col min="14" max="14" width="18" hidden="0" customWidth="1"/>
    <x:col min="15" max="15" width="18" hidden="0" customWidth="1"/>
    <x:col min="16" max="16" width="14" hidden="0" customWidth="1"/>
    <x:col min="17" max="17" width="14" hidden="0" customWidth="1"/>
    <x:col min="18" max="18" width="14" hidden="0" customWidth="1"/>
    <x:col min="19" max="19" width="18" hidden="0" customWidth="1"/>
    <x:col min="20" max="20" width="20" hidden="0" customWidth="1"/>
    <x:col min="21" max="21" width="16" hidden="0" customWidth="1"/>
    <x:col min="22" max="22" width="18" hidden="0" customWidth="1"/>
    <x:col min="23" max="23" width="22" hidden="0" customWidth="1"/>
    <x:col min="24" max="24" width="18" hidden="0" customWidth="1"/>
    <x:col min="25" max="25" width="18" hidden="0" customWidth="1"/>
    <x:col min="26" max="26" width="12" hidden="0" customWidth="1"/>
    <x:col min="27" max="27" width="12" hidden="0" customWidth="1"/>
    <x:col min="28" max="28" width="42" hidden="0" customWidth="1"/>
  </x:cols>
  <x:sheetData>
    <x:row r="1" ht="15" hidden="0" customHeight="1">
      <x:c r="A1" s="18" t="str">
        <x:v>fish_code</x:v>
      </x:c>
      <x:c r="B1" s="18" t="str">
        <x:v>trial_id</x:v>
      </x:c>
      <x:c r="C1" s="18" t="str">
        <x:v>experiment_month</x:v>
      </x:c>
      <x:c r="D1" s="18" t="str">
        <x:v>cohort_id</x:v>
      </x:c>
      <x:c r="E1" s="18" t="str">
        <x:v>silvering_stage</x:v>
      </x:c>
      <x:c r="F1" s="18" t="str">
        <x:v>trial_order</x:v>
      </x:c>
      <x:c r="G1" s="18" t="str">
        <x:v>experimental_condition</x:v>
      </x:c>
      <x:c r="H1" s="18" t="str">
        <x:v>water_medium</x:v>
      </x:c>
      <x:c r="I1" s="18" t="str">
        <x:v>temperature_c</x:v>
      </x:c>
      <x:c r="J1" s="18" t="str">
        <x:v>tl_used_cm</x:v>
      </x:c>
      <x:c r="K1" s="18" t="str">
        <x:v>bw_used_g</x:v>
      </x:c>
      <x:c r="L1" s="18" t="str">
        <x:v>swimming_speed_m_s</x:v>
      </x:c>
      <x:c r="M1" s="18" t="str">
        <x:v>swimming_speed_tl_s</x:v>
      </x:c>
      <x:c r="N1" s="18" t="str">
        <x:v>mo2_mg_o2_kg_h</x:v>
      </x:c>
      <x:c r="O1" s="18" t="str">
        <x:v>cot_mg_o2_kg_km</x:v>
      </x:c>
      <x:c r="P1" s="18" t="str">
        <x:v>is_lowflow_0_1_m_s</x:v>
      </x:c>
      <x:c r="Q1" s="18" t="str">
        <x:v>is_active_speed</x:v>
      </x:c>
      <x:c r="R1" s="18" t="str">
        <x:v>is_uopt_speed</x:v>
      </x:c>
      <x:c r="S1" s="18" t="str">
        <x:v>used_for_active_metrics</x:v>
      </x:c>
      <x:c r="T1" s="18" t="str">
        <x:v>speed_step_status</x:v>
      </x:c>
      <x:c r="U1" s="18" t="str">
        <x:v>table_s2_uopt_m_s</x:v>
      </x:c>
      <x:c r="V1" s="18" t="str">
        <x:v>table_s2_mincot_mg_o2_kg_km</x:v>
      </x:c>
      <x:c r="W1" s="18" t="str">
        <x:v>table_s2_mo2_at_uopt_mg_o2_kg_h</x:v>
      </x:c>
      <x:c r="X1" s="18" t="str">
        <x:v>uopt_position_flag</x:v>
      </x:c>
      <x:c r="Y1" s="18" t="str">
        <x:v>active_metrics_status</x:v>
      </x:c>
      <x:c r="Z1" s="18" t="str">
        <x:v>source_raw_mo2_row</x:v>
      </x:c>
      <x:c r="AA1" s="18" t="str">
        <x:v>source_raw_cot_row</x:v>
      </x:c>
      <x:c r="AB1" s="18" t="str">
        <x:v>notes</x:v>
      </x:c>
    </x:row>
    <x:row r="2" ht="15" hidden="0" customHeight="1">
      <x:c r="A2" s="19" t="str">
        <x:v>Eel 1</x:v>
      </x:c>
      <x:c r="B2" s="19" t="str">
        <x:v>E01FW25</x:v>
      </x:c>
      <x:c r="C2" s="19" t="str">
        <x:v>2012-09</x:v>
      </x:c>
      <x:c r="D2" s="19" t="n">
        <x:v>2012</x:v>
      </x:c>
      <x:c r="E2" s="19" t="str">
        <x:v>Y1</x:v>
      </x:c>
      <x:c r="F2" s="19" t="n">
        <x:v>1</x:v>
      </x:c>
      <x:c r="G2" s="19" t="str">
        <x:v>FW25</x:v>
      </x:c>
      <x:c r="H2" s="19" t="str">
        <x:v>Freshwater</x:v>
      </x:c>
      <x:c r="I2" s="24" t="n">
        <x:v>25</x:v>
      </x:c>
      <x:c r="J2" s="28" t="n">
        <x:v>53.4</x:v>
      </x:c>
      <x:c r="K2" s="28" t="n">
        <x:v>198</x:v>
      </x:c>
      <x:c r="L2" s="28" t="n">
        <x:v>0.1</x:v>
      </x:c>
      <x:c r="M2" s="26" t="n">
        <x:f>IF(OR(L2="",J2=""),"",L2/(J2/100))</x:f>
        <x:v>0.18726591760299627</x:v>
      </x:c>
      <x:c r="N2" s="26" t="n">
        <x:v>64.27306439393912</x:v>
      </x:c>
      <x:c r="O2" s="26" t="n">
        <x:v>178.5362899831642</x:v>
      </x:c>
      <x:c r="P2" s="20" t="b">
        <x:v>1</x:v>
      </x:c>
      <x:c r="Q2" s="20" t="b">
        <x:v>0</x:v>
      </x:c>
      <x:c r="R2" s="20" t="b">
        <x:v>0</x:v>
      </x:c>
      <x:c r="S2" s="20" t="b">
        <x:v>0</x:v>
      </x:c>
      <x:c r="T2" s="19" t="str">
        <x:v>lowflow_0.1_m_s</x:v>
      </x:c>
      <x:c r="U2" s="26" t="n">
        <x:v>0.5</x:v>
      </x:c>
      <x:c r="V2" s="26" t="n">
        <x:v>45.906832426832445</x:v>
      </x:c>
      <x:c r="W2" s="26" t="n">
        <x:v>82.63229836829841</x:v>
      </x:c>
      <x:c r="X2" s="19" t="str">
        <x:v>highest_observed_speed</x:v>
      </x:c>
      <x:c r="Y2" s="19" t="str">
        <x:v>boundary_estimate</x:v>
      </x:c>
      <x:c r="Z2" s="24" t="n">
        <x:v>7</x:v>
      </x:c>
      <x:c r="AA2" s="24" t="n">
        <x:v>8</x:v>
      </x:c>
      <x:c r="AB2" s="19" t="str"/>
    </x:row>
    <x:row r="3" ht="15" hidden="0" customHeight="1">
      <x:c r="A3" s="19" t="str">
        <x:v>Eel 1</x:v>
      </x:c>
      <x:c r="B3" s="19" t="str">
        <x:v>E01FW25</x:v>
      </x:c>
      <x:c r="C3" s="19" t="str">
        <x:v>2012-09</x:v>
      </x:c>
      <x:c r="D3" s="19" t="n">
        <x:v>2012</x:v>
      </x:c>
      <x:c r="E3" s="19" t="str">
        <x:v>Y1</x:v>
      </x:c>
      <x:c r="F3" s="19" t="n">
        <x:v>1</x:v>
      </x:c>
      <x:c r="G3" s="19" t="str">
        <x:v>FW25</x:v>
      </x:c>
      <x:c r="H3" s="19" t="str">
        <x:v>Freshwater</x:v>
      </x:c>
      <x:c r="I3" s="24" t="n">
        <x:v>25</x:v>
      </x:c>
      <x:c r="J3" s="28" t="n">
        <x:v>53.4</x:v>
      </x:c>
      <x:c r="K3" s="28" t="n">
        <x:v>198</x:v>
      </x:c>
      <x:c r="L3" s="28" t="n">
        <x:v>0.4</x:v>
      </x:c>
      <x:c r="M3" s="26" t="n">
        <x:f>IF(OR(L3="",J3=""),"",L3/(J3/100))</x:f>
        <x:v>0.7490636704119851</x:v>
      </x:c>
      <x:c r="N3" s="26" t="n">
        <x:v>99.88934848484838</x:v>
      </x:c>
      <x:c r="O3" s="26" t="n">
        <x:v>69.36760311447803</x:v>
      </x:c>
      <x:c r="P3" s="20" t="b">
        <x:v>0</x:v>
      </x:c>
      <x:c r="Q3" s="20" t="b">
        <x:v>1</x:v>
      </x:c>
      <x:c r="R3" s="20" t="b">
        <x:v>0</x:v>
      </x:c>
      <x:c r="S3" s="20" t="b">
        <x:v>1</x:v>
      </x:c>
      <x:c r="T3" s="19" t="str">
        <x:v>active_measured</x:v>
      </x:c>
      <x:c r="U3" s="26" t="n">
        <x:v>0.5</x:v>
      </x:c>
      <x:c r="V3" s="26" t="n">
        <x:v>45.906832426832445</x:v>
      </x:c>
      <x:c r="W3" s="26" t="n">
        <x:v>82.63229836829841</x:v>
      </x:c>
      <x:c r="X3" s="19" t="str">
        <x:v>highest_observed_speed</x:v>
      </x:c>
      <x:c r="Y3" s="19" t="str">
        <x:v>boundary_estimate</x:v>
      </x:c>
      <x:c r="Z3" s="24" t="n">
        <x:v>7</x:v>
      </x:c>
      <x:c r="AA3" s="24" t="n">
        <x:v>8</x:v>
      </x:c>
      <x:c r="AB3" s="19" t="str"/>
    </x:row>
    <x:row r="4" ht="15" hidden="0" customHeight="1">
      <x:c r="A4" s="19" t="str">
        <x:v>Eel 1</x:v>
      </x:c>
      <x:c r="B4" s="19" t="str">
        <x:v>E01FW25</x:v>
      </x:c>
      <x:c r="C4" s="19" t="str">
        <x:v>2012-09</x:v>
      </x:c>
      <x:c r="D4" s="19" t="n">
        <x:v>2012</x:v>
      </x:c>
      <x:c r="E4" s="19" t="str">
        <x:v>Y1</x:v>
      </x:c>
      <x:c r="F4" s="19" t="n">
        <x:v>1</x:v>
      </x:c>
      <x:c r="G4" s="19" t="str">
        <x:v>FW25</x:v>
      </x:c>
      <x:c r="H4" s="19" t="str">
        <x:v>Freshwater</x:v>
      </x:c>
      <x:c r="I4" s="24" t="n">
        <x:v>25</x:v>
      </x:c>
      <x:c r="J4" s="28" t="n">
        <x:v>53.4</x:v>
      </x:c>
      <x:c r="K4" s="28" t="n">
        <x:v>198</x:v>
      </x:c>
      <x:c r="L4" s="28" t="n">
        <x:v>0.5</x:v>
      </x:c>
      <x:c r="M4" s="26" t="n">
        <x:f>IF(OR(L4="",J4=""),"",L4/(J4/100))</x:f>
        <x:v>0.9363295880149812</x:v>
      </x:c>
      <x:c r="N4" s="26" t="n">
        <x:v>82.63229836829841</x:v>
      </x:c>
      <x:c r="O4" s="26" t="n">
        <x:v>45.906832426832445</x:v>
      </x:c>
      <x:c r="P4" s="20" t="b">
        <x:v>0</x:v>
      </x:c>
      <x:c r="Q4" s="20" t="b">
        <x:v>1</x:v>
      </x:c>
      <x:c r="R4" s="20" t="b">
        <x:v>1</x:v>
      </x:c>
      <x:c r="S4" s="20" t="b">
        <x:v>1</x:v>
      </x:c>
      <x:c r="T4" s="19" t="str">
        <x:v>uopt_speed</x:v>
      </x:c>
      <x:c r="U4" s="26" t="n">
        <x:v>0.5</x:v>
      </x:c>
      <x:c r="V4" s="26" t="n">
        <x:v>45.906832426832445</x:v>
      </x:c>
      <x:c r="W4" s="26" t="n">
        <x:v>82.63229836829841</x:v>
      </x:c>
      <x:c r="X4" s="19" t="str">
        <x:v>highest_observed_speed</x:v>
      </x:c>
      <x:c r="Y4" s="19" t="str">
        <x:v>boundary_estimate</x:v>
      </x:c>
      <x:c r="Z4" s="24" t="n">
        <x:v>7</x:v>
      </x:c>
      <x:c r="AA4" s="24" t="n">
        <x:v>8</x:v>
      </x:c>
      <x:c r="AB4" s="19" t="str">
        <x:v>Uopt/minCOT occurs at highest observed speed; treated as boundary_estimate in Table S2.</x:v>
      </x:c>
    </x:row>
    <x:row r="5" ht="15" hidden="0" customHeight="1">
      <x:c r="A5" s="19" t="str">
        <x:v>Eel 2</x:v>
      </x:c>
      <x:c r="B5" s="19" t="str">
        <x:v>E02FW25</x:v>
      </x:c>
      <x:c r="C5" s="19" t="str">
        <x:v>2012-09</x:v>
      </x:c>
      <x:c r="D5" s="19" t="n">
        <x:v>2012</x:v>
      </x:c>
      <x:c r="E5" s="19" t="str">
        <x:v>Y1</x:v>
      </x:c>
      <x:c r="F5" s="19" t="n">
        <x:v>1</x:v>
      </x:c>
      <x:c r="G5" s="19" t="str">
        <x:v>FW25</x:v>
      </x:c>
      <x:c r="H5" s="19" t="str">
        <x:v>Freshwater</x:v>
      </x:c>
      <x:c r="I5" s="24" t="n">
        <x:v>25</x:v>
      </x:c>
      <x:c r="J5" s="28" t="n">
        <x:v>58.9</x:v>
      </x:c>
      <x:c r="K5" s="28" t="n">
        <x:v>300</x:v>
      </x:c>
      <x:c r="L5" s="28" t="n">
        <x:v>0.1</x:v>
      </x:c>
      <x:c r="M5" s="26" t="n">
        <x:f>IF(OR(L5="",J5=""),"",L5/(J5/100))</x:f>
        <x:v>0.16977928692699493</x:v>
      </x:c>
      <x:c r="N5" s="26" t="n">
        <x:v>69.57413582990155</x:v>
      </x:c>
      <x:c r="O5" s="26" t="n">
        <x:v>193.26148841639318</x:v>
      </x:c>
      <x:c r="P5" s="20" t="b">
        <x:v>1</x:v>
      </x:c>
      <x:c r="Q5" s="20" t="b">
        <x:v>0</x:v>
      </x:c>
      <x:c r="R5" s="20" t="b">
        <x:v>0</x:v>
      </x:c>
      <x:c r="S5" s="20" t="b">
        <x:v>0</x:v>
      </x:c>
      <x:c r="T5" s="19" t="str">
        <x:v>lowflow_0.1_m_s</x:v>
      </x:c>
      <x:c r="U5" s="26" t="n">
        <x:v>0.5</x:v>
      </x:c>
      <x:c r="V5" s="26" t="n">
        <x:v>48.55484156912564</x:v>
      </x:c>
      <x:c r="W5" s="26" t="n">
        <x:v>87.39871482442616</x:v>
      </x:c>
      <x:c r="X5" s="19" t="str">
        <x:v>highest_observed_speed</x:v>
      </x:c>
      <x:c r="Y5" s="19" t="str">
        <x:v>boundary_estimate</x:v>
      </x:c>
      <x:c r="Z5" s="24" t="n">
        <x:v>8</x:v>
      </x:c>
      <x:c r="AA5" s="24" t="n">
        <x:v>9</x:v>
      </x:c>
      <x:c r="AB5" s="19" t="str"/>
    </x:row>
    <x:row r="6" ht="15" hidden="0" customHeight="1">
      <x:c r="A6" s="19" t="str">
        <x:v>Eel 2</x:v>
      </x:c>
      <x:c r="B6" s="19" t="str">
        <x:v>E02FW25</x:v>
      </x:c>
      <x:c r="C6" s="19" t="str">
        <x:v>2012-09</x:v>
      </x:c>
      <x:c r="D6" s="19" t="n">
        <x:v>2012</x:v>
      </x:c>
      <x:c r="E6" s="19" t="str">
        <x:v>Y1</x:v>
      </x:c>
      <x:c r="F6" s="19" t="n">
        <x:v>1</x:v>
      </x:c>
      <x:c r="G6" s="19" t="str">
        <x:v>FW25</x:v>
      </x:c>
      <x:c r="H6" s="19" t="str">
        <x:v>Freshwater</x:v>
      </x:c>
      <x:c r="I6" s="24" t="n">
        <x:v>25</x:v>
      </x:c>
      <x:c r="J6" s="28" t="n">
        <x:v>58.9</x:v>
      </x:c>
      <x:c r="K6" s="28" t="n">
        <x:v>300</x:v>
      </x:c>
      <x:c r="L6" s="28" t="n">
        <x:v>0.4</x:v>
      </x:c>
      <x:c r="M6" s="26" t="n">
        <x:f>IF(OR(L6="",J6=""),"",L6/(J6/100))</x:f>
        <x:v>0.6791171477079797</x:v>
      </x:c>
      <x:c r="N6" s="26" t="n">
        <x:v>95.26568071081947</x:v>
      </x:c>
      <x:c r="O6" s="26" t="n">
        <x:v>66.15672271584684</x:v>
      </x:c>
      <x:c r="P6" s="20" t="b">
        <x:v>0</x:v>
      </x:c>
      <x:c r="Q6" s="20" t="b">
        <x:v>1</x:v>
      </x:c>
      <x:c r="R6" s="20" t="b">
        <x:v>0</x:v>
      </x:c>
      <x:c r="S6" s="20" t="b">
        <x:v>1</x:v>
      </x:c>
      <x:c r="T6" s="19" t="str">
        <x:v>active_measured</x:v>
      </x:c>
      <x:c r="U6" s="26" t="n">
        <x:v>0.5</x:v>
      </x:c>
      <x:c r="V6" s="26" t="n">
        <x:v>48.55484156912564</x:v>
      </x:c>
      <x:c r="W6" s="26" t="n">
        <x:v>87.39871482442616</x:v>
      </x:c>
      <x:c r="X6" s="19" t="str">
        <x:v>highest_observed_speed</x:v>
      </x:c>
      <x:c r="Y6" s="19" t="str">
        <x:v>boundary_estimate</x:v>
      </x:c>
      <x:c r="Z6" s="24" t="n">
        <x:v>8</x:v>
      </x:c>
      <x:c r="AA6" s="24" t="n">
        <x:v>9</x:v>
      </x:c>
      <x:c r="AB6" s="19" t="str"/>
    </x:row>
    <x:row r="7" ht="15" hidden="0" customHeight="1">
      <x:c r="A7" s="19" t="str">
        <x:v>Eel 2</x:v>
      </x:c>
      <x:c r="B7" s="19" t="str">
        <x:v>E02FW25</x:v>
      </x:c>
      <x:c r="C7" s="19" t="str">
        <x:v>2012-09</x:v>
      </x:c>
      <x:c r="D7" s="19" t="n">
        <x:v>2012</x:v>
      </x:c>
      <x:c r="E7" s="19" t="str">
        <x:v>Y1</x:v>
      </x:c>
      <x:c r="F7" s="19" t="n">
        <x:v>1</x:v>
      </x:c>
      <x:c r="G7" s="19" t="str">
        <x:v>FW25</x:v>
      </x:c>
      <x:c r="H7" s="19" t="str">
        <x:v>Freshwater</x:v>
      </x:c>
      <x:c r="I7" s="24" t="n">
        <x:v>25</x:v>
      </x:c>
      <x:c r="J7" s="28" t="n">
        <x:v>58.9</x:v>
      </x:c>
      <x:c r="K7" s="28" t="n">
        <x:v>300</x:v>
      </x:c>
      <x:c r="L7" s="28" t="n">
        <x:v>0.5</x:v>
      </x:c>
      <x:c r="M7" s="26" t="n">
        <x:f>IF(OR(L7="",J7=""),"",L7/(J7/100))</x:f>
        <x:v>0.8488964346349746</x:v>
      </x:c>
      <x:c r="N7" s="26" t="n">
        <x:v>87.39871482442616</x:v>
      </x:c>
      <x:c r="O7" s="26" t="n">
        <x:v>48.55484156912564</x:v>
      </x:c>
      <x:c r="P7" s="20" t="b">
        <x:v>0</x:v>
      </x:c>
      <x:c r="Q7" s="20" t="b">
        <x:v>1</x:v>
      </x:c>
      <x:c r="R7" s="20" t="b">
        <x:v>1</x:v>
      </x:c>
      <x:c r="S7" s="20" t="b">
        <x:v>1</x:v>
      </x:c>
      <x:c r="T7" s="19" t="str">
        <x:v>uopt_speed</x:v>
      </x:c>
      <x:c r="U7" s="26" t="n">
        <x:v>0.5</x:v>
      </x:c>
      <x:c r="V7" s="26" t="n">
        <x:v>48.55484156912564</x:v>
      </x:c>
      <x:c r="W7" s="26" t="n">
        <x:v>87.39871482442616</x:v>
      </x:c>
      <x:c r="X7" s="19" t="str">
        <x:v>highest_observed_speed</x:v>
      </x:c>
      <x:c r="Y7" s="19" t="str">
        <x:v>boundary_estimate</x:v>
      </x:c>
      <x:c r="Z7" s="24" t="n">
        <x:v>8</x:v>
      </x:c>
      <x:c r="AA7" s="24" t="n">
        <x:v>9</x:v>
      </x:c>
      <x:c r="AB7" s="19" t="str">
        <x:v>Uopt/minCOT occurs at highest observed speed; treated as boundary_estimate in Table S2.</x:v>
      </x:c>
    </x:row>
    <x:row r="8" ht="15" hidden="0" customHeight="1">
      <x:c r="A8" s="19" t="str">
        <x:v>Eel 3</x:v>
      </x:c>
      <x:c r="B8" s="19" t="str">
        <x:v>E03FW25</x:v>
      </x:c>
      <x:c r="C8" s="19" t="str">
        <x:v>2012-09</x:v>
      </x:c>
      <x:c r="D8" s="19" t="n">
        <x:v>2012</x:v>
      </x:c>
      <x:c r="E8" s="19" t="str">
        <x:v>Y1</x:v>
      </x:c>
      <x:c r="F8" s="19" t="n">
        <x:v>1</x:v>
      </x:c>
      <x:c r="G8" s="19" t="str">
        <x:v>FW25</x:v>
      </x:c>
      <x:c r="H8" s="19" t="str">
        <x:v>Freshwater</x:v>
      </x:c>
      <x:c r="I8" s="24" t="n">
        <x:v>25</x:v>
      </x:c>
      <x:c r="J8" s="28" t="n">
        <x:v>53.5</x:v>
      </x:c>
      <x:c r="K8" s="28" t="n">
        <x:v>183</x:v>
      </x:c>
      <x:c r="L8" s="28" t="n">
        <x:v>0.1</x:v>
      </x:c>
      <x:c r="M8" s="26" t="n">
        <x:f>IF(OR(L8="",J8=""),"",L8/(J8/100))</x:f>
        <x:v>0.18691588785046728</x:v>
      </x:c>
      <x:c r="N8" s="26" t="n">
        <x:v>81.45024918960108</x:v>
      </x:c>
      <x:c r="O8" s="26" t="n">
        <x:v>226.2506921933363</x:v>
      </x:c>
      <x:c r="P8" s="20" t="b">
        <x:v>1</x:v>
      </x:c>
      <x:c r="Q8" s="20" t="b">
        <x:v>0</x:v>
      </x:c>
      <x:c r="R8" s="20" t="b">
        <x:v>0</x:v>
      </x:c>
      <x:c r="S8" s="20" t="b">
        <x:v>0</x:v>
      </x:c>
      <x:c r="T8" s="19" t="str">
        <x:v>lowflow_0.1_m_s</x:v>
      </x:c>
      <x:c r="U8" s="26" t="n">
        <x:v>0.4</x:v>
      </x:c>
      <x:c r="V8" s="26" t="n">
        <x:v>53.521699746666656</x:v>
      </x:c>
      <x:c r="W8" s="26" t="n">
        <x:v>77.0712476352</x:v>
      </x:c>
      <x:c r="X8" s="19" t="str">
        <x:v>lowest_active_speed</x:v>
      </x:c>
      <x:c r="Y8" s="19" t="str">
        <x:v>boundary_estimate</x:v>
      </x:c>
      <x:c r="Z8" s="24" t="n">
        <x:v>9</x:v>
      </x:c>
      <x:c r="AA8" s="24" t="n">
        <x:v>10</x:v>
      </x:c>
      <x:c r="AB8" s="19" t="str"/>
    </x:row>
    <x:row r="9" ht="15" hidden="0" customHeight="1">
      <x:c r="A9" s="19" t="str">
        <x:v>Eel 3</x:v>
      </x:c>
      <x:c r="B9" s="19" t="str">
        <x:v>E03FW25</x:v>
      </x:c>
      <x:c r="C9" s="19" t="str">
        <x:v>2012-09</x:v>
      </x:c>
      <x:c r="D9" s="19" t="n">
        <x:v>2012</x:v>
      </x:c>
      <x:c r="E9" s="19" t="str">
        <x:v>Y1</x:v>
      </x:c>
      <x:c r="F9" s="19" t="n">
        <x:v>1</x:v>
      </x:c>
      <x:c r="G9" s="19" t="str">
        <x:v>FW25</x:v>
      </x:c>
      <x:c r="H9" s="19" t="str">
        <x:v>Freshwater</x:v>
      </x:c>
      <x:c r="I9" s="24" t="n">
        <x:v>25</x:v>
      </x:c>
      <x:c r="J9" s="28" t="n">
        <x:v>53.5</x:v>
      </x:c>
      <x:c r="K9" s="28" t="n">
        <x:v>183</x:v>
      </x:c>
      <x:c r="L9" s="28" t="n">
        <x:v>0.4</x:v>
      </x:c>
      <x:c r="M9" s="26" t="n">
        <x:f>IF(OR(L9="",J9=""),"",L9/(J9/100))</x:f>
        <x:v>0.7476635514018691</x:v>
      </x:c>
      <x:c r="N9" s="26" t="n">
        <x:v>77.0712476352</x:v>
      </x:c>
      <x:c r="O9" s="26" t="n">
        <x:v>53.521699746666656</x:v>
      </x:c>
      <x:c r="P9" s="20" t="b">
        <x:v>0</x:v>
      </x:c>
      <x:c r="Q9" s="20" t="b">
        <x:v>1</x:v>
      </x:c>
      <x:c r="R9" s="20" t="b">
        <x:v>1</x:v>
      </x:c>
      <x:c r="S9" s="20" t="b">
        <x:v>1</x:v>
      </x:c>
      <x:c r="T9" s="19" t="str">
        <x:v>uopt_speed</x:v>
      </x:c>
      <x:c r="U9" s="26" t="n">
        <x:v>0.4</x:v>
      </x:c>
      <x:c r="V9" s="26" t="n">
        <x:v>53.521699746666656</x:v>
      </x:c>
      <x:c r="W9" s="26" t="n">
        <x:v>77.0712476352</x:v>
      </x:c>
      <x:c r="X9" s="19" t="str">
        <x:v>lowest_active_speed</x:v>
      </x:c>
      <x:c r="Y9" s="19" t="str">
        <x:v>boundary_estimate</x:v>
      </x:c>
      <x:c r="Z9" s="24" t="n">
        <x:v>9</x:v>
      </x:c>
      <x:c r="AA9" s="24" t="n">
        <x:v>10</x:v>
      </x:c>
      <x:c r="AB9" s="19" t="str">
        <x:v>Uopt/minCOT occurs at lowest active speed; treated as boundary_estimate in Table S2.</x:v>
      </x:c>
    </x:row>
    <x:row r="10" ht="15" hidden="0" customHeight="1">
      <x:c r="A10" s="19" t="str">
        <x:v>Eel 3</x:v>
      </x:c>
      <x:c r="B10" s="19" t="str">
        <x:v>E03FW25</x:v>
      </x:c>
      <x:c r="C10" s="19" t="str">
        <x:v>2012-09</x:v>
      </x:c>
      <x:c r="D10" s="19" t="n">
        <x:v>2012</x:v>
      </x:c>
      <x:c r="E10" s="19" t="str">
        <x:v>Y1</x:v>
      </x:c>
      <x:c r="F10" s="19" t="n">
        <x:v>1</x:v>
      </x:c>
      <x:c r="G10" s="19" t="str">
        <x:v>FW25</x:v>
      </x:c>
      <x:c r="H10" s="19" t="str">
        <x:v>Freshwater</x:v>
      </x:c>
      <x:c r="I10" s="24" t="n">
        <x:v>25</x:v>
      </x:c>
      <x:c r="J10" s="28" t="n">
        <x:v>53.5</x:v>
      </x:c>
      <x:c r="K10" s="28" t="n">
        <x:v>183</x:v>
      </x:c>
      <x:c r="L10" s="28" t="n">
        <x:v>0.5</x:v>
      </x:c>
      <x:c r="M10" s="26" t="n">
        <x:f>IF(OR(L10="",J10=""),"",L10/(J10/100))</x:f>
        <x:v>0.9345794392523364</x:v>
      </x:c>
      <x:c r="N10" s="26" t="n">
        <x:v>102.9295107141001</x:v>
      </x:c>
      <x:c r="O10" s="26" t="n">
        <x:v>57.183061507833386</x:v>
      </x:c>
      <x:c r="P10" s="20" t="b">
        <x:v>0</x:v>
      </x:c>
      <x:c r="Q10" s="20" t="b">
        <x:v>1</x:v>
      </x:c>
      <x:c r="R10" s="20" t="b">
        <x:v>0</x:v>
      </x:c>
      <x:c r="S10" s="20" t="b">
        <x:v>1</x:v>
      </x:c>
      <x:c r="T10" s="19" t="str">
        <x:v>active_measured</x:v>
      </x:c>
      <x:c r="U10" s="26" t="n">
        <x:v>0.4</x:v>
      </x:c>
      <x:c r="V10" s="26" t="n">
        <x:v>53.521699746666656</x:v>
      </x:c>
      <x:c r="W10" s="26" t="n">
        <x:v>77.0712476352</x:v>
      </x:c>
      <x:c r="X10" s="19" t="str">
        <x:v>lowest_active_speed</x:v>
      </x:c>
      <x:c r="Y10" s="19" t="str">
        <x:v>boundary_estimate</x:v>
      </x:c>
      <x:c r="Z10" s="24" t="n">
        <x:v>9</x:v>
      </x:c>
      <x:c r="AA10" s="24" t="n">
        <x:v>10</x:v>
      </x:c>
      <x:c r="AB10" s="19" t="str"/>
    </x:row>
    <x:row r="11" ht="15" hidden="0" customHeight="1">
      <x:c r="A11" s="19" t="str">
        <x:v>Eel 4</x:v>
      </x:c>
      <x:c r="B11" s="19" t="str">
        <x:v>E04FW25</x:v>
      </x:c>
      <x:c r="C11" s="19" t="str">
        <x:v>2012-09</x:v>
      </x:c>
      <x:c r="D11" s="19" t="n">
        <x:v>2012</x:v>
      </x:c>
      <x:c r="E11" s="19" t="str">
        <x:v>Y1</x:v>
      </x:c>
      <x:c r="F11" s="19" t="n">
        <x:v>1</x:v>
      </x:c>
      <x:c r="G11" s="19" t="str">
        <x:v>FW25</x:v>
      </x:c>
      <x:c r="H11" s="19" t="str">
        <x:v>Freshwater</x:v>
      </x:c>
      <x:c r="I11" s="24" t="n">
        <x:v>25</x:v>
      </x:c>
      <x:c r="J11" s="28" t="n">
        <x:v>56.3</x:v>
      </x:c>
      <x:c r="K11" s="28" t="n">
        <x:v>211</x:v>
      </x:c>
      <x:c r="L11" s="28" t="n">
        <x:v>0.1</x:v>
      </x:c>
      <x:c r="M11" s="26" t="n">
        <x:f>IF(OR(L11="",J11=""),"",L11/(J11/100))</x:f>
        <x:v>0.17761989342806397</x:v>
      </x:c>
      <x:c r="N11" s="26" t="n">
        <x:v>52.87729265402807</x:v>
      </x:c>
      <x:c r="O11" s="26" t="n">
        <x:v>146.88136848341128</x:v>
      </x:c>
      <x:c r="P11" s="20" t="b">
        <x:v>1</x:v>
      </x:c>
      <x:c r="Q11" s="20" t="b">
        <x:v>0</x:v>
      </x:c>
      <x:c r="R11" s="20" t="b">
        <x:v>0</x:v>
      </x:c>
      <x:c r="S11" s="20" t="b">
        <x:v>0</x:v>
      </x:c>
      <x:c r="T11" s="19" t="str">
        <x:v>lowflow_0.1_m_s</x:v>
      </x:c>
      <x:c r="U11" s="26" t="n">
        <x:v>0.4</x:v>
      </x:c>
      <x:c r="V11" s="26" t="n">
        <x:v>65.9357968009477</x:v>
      </x:c>
      <x:c r="W11" s="26" t="n">
        <x:v>94.9475473933647</x:v>
      </x:c>
      <x:c r="X11" s="19" t="str">
        <x:v>single_active_point</x:v>
      </x:c>
      <x:c r="Y11" s="19" t="str">
        <x:v>single_active_point</x:v>
      </x:c>
      <x:c r="Z11" s="24" t="n">
        <x:v>10</x:v>
      </x:c>
      <x:c r="AA11" s="24" t="n">
        <x:v>11</x:v>
      </x:c>
      <x:c r="AB11" s="19" t="str"/>
    </x:row>
    <x:row r="12" ht="15" hidden="0" customHeight="1">
      <x:c r="A12" s="19" t="str">
        <x:v>Eel 4</x:v>
      </x:c>
      <x:c r="B12" s="19" t="str">
        <x:v>E04FW25</x:v>
      </x:c>
      <x:c r="C12" s="19" t="str">
        <x:v>2012-09</x:v>
      </x:c>
      <x:c r="D12" s="19" t="n">
        <x:v>2012</x:v>
      </x:c>
      <x:c r="E12" s="19" t="str">
        <x:v>Y1</x:v>
      </x:c>
      <x:c r="F12" s="19" t="n">
        <x:v>1</x:v>
      </x:c>
      <x:c r="G12" s="19" t="str">
        <x:v>FW25</x:v>
      </x:c>
      <x:c r="H12" s="19" t="str">
        <x:v>Freshwater</x:v>
      </x:c>
      <x:c r="I12" s="24" t="n">
        <x:v>25</x:v>
      </x:c>
      <x:c r="J12" s="28" t="n">
        <x:v>56.3</x:v>
      </x:c>
      <x:c r="K12" s="28" t="n">
        <x:v>211</x:v>
      </x:c>
      <x:c r="L12" s="28" t="n">
        <x:v>0.4</x:v>
      </x:c>
      <x:c r="M12" s="26" t="n">
        <x:f>IF(OR(L12="",J12=""),"",L12/(J12/100))</x:f>
        <x:v>0.7104795737122559</x:v>
      </x:c>
      <x:c r="N12" s="26" t="n">
        <x:v>94.9475473933647</x:v>
      </x:c>
      <x:c r="O12" s="26" t="n">
        <x:v>65.9357968009477</x:v>
      </x:c>
      <x:c r="P12" s="20" t="b">
        <x:v>0</x:v>
      </x:c>
      <x:c r="Q12" s="20" t="b">
        <x:v>1</x:v>
      </x:c>
      <x:c r="R12" s="20" t="b">
        <x:v>1</x:v>
      </x:c>
      <x:c r="S12" s="20" t="b">
        <x:v>1</x:v>
      </x:c>
      <x:c r="T12" s="19" t="str">
        <x:v>uopt_speed</x:v>
      </x:c>
      <x:c r="U12" s="26" t="n">
        <x:v>0.4</x:v>
      </x:c>
      <x:c r="V12" s="26" t="n">
        <x:v>65.9357968009477</x:v>
      </x:c>
      <x:c r="W12" s="26" t="n">
        <x:v>94.9475473933647</x:v>
      </x:c>
      <x:c r="X12" s="19" t="str">
        <x:v>single_active_point</x:v>
      </x:c>
      <x:c r="Y12" s="19" t="str">
        <x:v>single_active_point</x:v>
      </x:c>
      <x:c r="Z12" s="24" t="n">
        <x:v>10</x:v>
      </x:c>
      <x:c r="AA12" s="24" t="n">
        <x:v>11</x:v>
      </x:c>
      <x:c r="AB12" s="19" t="str">
        <x:v>Only one valid active speed point was available; active metrics status is single_active_point.</x:v>
      </x:c>
    </x:row>
    <x:row r="13" ht="15" hidden="0" customHeight="1">
      <x:c r="A13" s="19" t="str">
        <x:v>Eel 5</x:v>
      </x:c>
      <x:c r="B13" s="19" t="str">
        <x:v>E05FW25</x:v>
      </x:c>
      <x:c r="C13" s="19" t="str">
        <x:v>2012-09</x:v>
      </x:c>
      <x:c r="D13" s="19" t="n">
        <x:v>2012</x:v>
      </x:c>
      <x:c r="E13" s="19" t="str">
        <x:v>Y1</x:v>
      </x:c>
      <x:c r="F13" s="19" t="n">
        <x:v>1</x:v>
      </x:c>
      <x:c r="G13" s="19" t="str">
        <x:v>FW25</x:v>
      </x:c>
      <x:c r="H13" s="19" t="str">
        <x:v>Freshwater</x:v>
      </x:c>
      <x:c r="I13" s="24" t="n">
        <x:v>25</x:v>
      </x:c>
      <x:c r="J13" s="28" t="n">
        <x:v>56.8</x:v>
      </x:c>
      <x:c r="K13" s="28" t="n">
        <x:v>204</x:v>
      </x:c>
      <x:c r="L13" s="28" t="n">
        <x:v>0.1</x:v>
      </x:c>
      <x:c r="M13" s="26" t="n">
        <x:f>IF(OR(L13="",J13=""),"",L13/(J13/100))</x:f>
        <x:v>0.17605633802816903</x:v>
      </x:c>
      <x:c r="N13" s="26" t="n">
        <x:v>51.897242647058725</x:v>
      </x:c>
      <x:c r="O13" s="26" t="n">
        <x:v>144.15900735294088</x:v>
      </x:c>
      <x:c r="P13" s="20" t="b">
        <x:v>1</x:v>
      </x:c>
      <x:c r="Q13" s="20" t="b">
        <x:v>0</x:v>
      </x:c>
      <x:c r="R13" s="20" t="b">
        <x:v>0</x:v>
      </x:c>
      <x:c r="S13" s="20" t="b">
        <x:v>0</x:v>
      </x:c>
      <x:c r="T13" s="19" t="str">
        <x:v>lowflow_0.1_m_s</x:v>
      </x:c>
      <x:c r="U13" s="26" t="n">
        <x:v>0.6</x:v>
      </x:c>
      <x:c r="V13" s="26" t="n">
        <x:v>43.6173406862745</x:v>
      </x:c>
      <x:c r="W13" s="26" t="n">
        <x:v>94.21345588235293</x:v>
      </x:c>
      <x:c r="X13" s="19" t="str">
        <x:v>highest_observed_speed</x:v>
      </x:c>
      <x:c r="Y13" s="19" t="str">
        <x:v>boundary_estimate</x:v>
      </x:c>
      <x:c r="Z13" s="24" t="n">
        <x:v>11</x:v>
      </x:c>
      <x:c r="AA13" s="24" t="n">
        <x:v>12</x:v>
      </x:c>
      <x:c r="AB13" s="19" t="str"/>
    </x:row>
    <x:row r="14" ht="15" hidden="0" customHeight="1">
      <x:c r="A14" s="19" t="str">
        <x:v>Eel 5</x:v>
      </x:c>
      <x:c r="B14" s="19" t="str">
        <x:v>E05FW25</x:v>
      </x:c>
      <x:c r="C14" s="19" t="str">
        <x:v>2012-09</x:v>
      </x:c>
      <x:c r="D14" s="19" t="n">
        <x:v>2012</x:v>
      </x:c>
      <x:c r="E14" s="19" t="str">
        <x:v>Y1</x:v>
      </x:c>
      <x:c r="F14" s="19" t="n">
        <x:v>1</x:v>
      </x:c>
      <x:c r="G14" s="19" t="str">
        <x:v>FW25</x:v>
      </x:c>
      <x:c r="H14" s="19" t="str">
        <x:v>Freshwater</x:v>
      </x:c>
      <x:c r="I14" s="24" t="n">
        <x:v>25</x:v>
      </x:c>
      <x:c r="J14" s="28" t="n">
        <x:v>56.8</x:v>
      </x:c>
      <x:c r="K14" s="28" t="n">
        <x:v>204</x:v>
      </x:c>
      <x:c r="L14" s="28" t="n">
        <x:v>0.4</x:v>
      </x:c>
      <x:c r="M14" s="26" t="n">
        <x:f>IF(OR(L14="",J14=""),"",L14/(J14/100))</x:f>
        <x:v>0.7042253521126761</x:v>
      </x:c>
      <x:c r="N14" s="26" t="n">
        <x:v>75.05139705882392</x:v>
      </x:c>
      <x:c r="O14" s="26" t="n">
        <x:v>52.119025735294386</x:v>
      </x:c>
      <x:c r="P14" s="20" t="b">
        <x:v>0</x:v>
      </x:c>
      <x:c r="Q14" s="20" t="b">
        <x:v>1</x:v>
      </x:c>
      <x:c r="R14" s="20" t="b">
        <x:v>0</x:v>
      </x:c>
      <x:c r="S14" s="20" t="b">
        <x:v>1</x:v>
      </x:c>
      <x:c r="T14" s="19" t="str">
        <x:v>active_measured</x:v>
      </x:c>
      <x:c r="U14" s="26" t="n">
        <x:v>0.6</x:v>
      </x:c>
      <x:c r="V14" s="26" t="n">
        <x:v>43.6173406862745</x:v>
      </x:c>
      <x:c r="W14" s="26" t="n">
        <x:v>94.21345588235293</x:v>
      </x:c>
      <x:c r="X14" s="19" t="str">
        <x:v>highest_observed_speed</x:v>
      </x:c>
      <x:c r="Y14" s="19" t="str">
        <x:v>boundary_estimate</x:v>
      </x:c>
      <x:c r="Z14" s="24" t="n">
        <x:v>11</x:v>
      </x:c>
      <x:c r="AA14" s="24" t="n">
        <x:v>12</x:v>
      </x:c>
      <x:c r="AB14" s="19" t="str"/>
    </x:row>
    <x:row r="15" ht="15" hidden="0" customHeight="1">
      <x:c r="A15" s="19" t="str">
        <x:v>Eel 5</x:v>
      </x:c>
      <x:c r="B15" s="19" t="str">
        <x:v>E05FW25</x:v>
      </x:c>
      <x:c r="C15" s="19" t="str">
        <x:v>2012-09</x:v>
      </x:c>
      <x:c r="D15" s="19" t="n">
        <x:v>2012</x:v>
      </x:c>
      <x:c r="E15" s="19" t="str">
        <x:v>Y1</x:v>
      </x:c>
      <x:c r="F15" s="19" t="n">
        <x:v>1</x:v>
      </x:c>
      <x:c r="G15" s="19" t="str">
        <x:v>FW25</x:v>
      </x:c>
      <x:c r="H15" s="19" t="str">
        <x:v>Freshwater</x:v>
      </x:c>
      <x:c r="I15" s="24" t="n">
        <x:v>25</x:v>
      </x:c>
      <x:c r="J15" s="28" t="n">
        <x:v>56.8</x:v>
      </x:c>
      <x:c r="K15" s="28" t="n">
        <x:v>204</x:v>
      </x:c>
      <x:c r="L15" s="28" t="n">
        <x:v>0.5</x:v>
      </x:c>
      <x:c r="M15" s="26" t="n">
        <x:f>IF(OR(L15="",J15=""),"",L15/(J15/100))</x:f>
        <x:v>0.8802816901408451</x:v>
      </x:c>
      <x:c r="N15" s="26" t="n">
        <x:v>92.2174080882354</x:v>
      </x:c>
      <x:c r="O15" s="26" t="n">
        <x:v>51.231893382353</x:v>
      </x:c>
      <x:c r="P15" s="20" t="b">
        <x:v>0</x:v>
      </x:c>
      <x:c r="Q15" s="20" t="b">
        <x:v>1</x:v>
      </x:c>
      <x:c r="R15" s="20" t="b">
        <x:v>0</x:v>
      </x:c>
      <x:c r="S15" s="20" t="b">
        <x:v>1</x:v>
      </x:c>
      <x:c r="T15" s="19" t="str">
        <x:v>active_measured</x:v>
      </x:c>
      <x:c r="U15" s="26" t="n">
        <x:v>0.6</x:v>
      </x:c>
      <x:c r="V15" s="26" t="n">
        <x:v>43.6173406862745</x:v>
      </x:c>
      <x:c r="W15" s="26" t="n">
        <x:v>94.21345588235293</x:v>
      </x:c>
      <x:c r="X15" s="19" t="str">
        <x:v>highest_observed_speed</x:v>
      </x:c>
      <x:c r="Y15" s="19" t="str">
        <x:v>boundary_estimate</x:v>
      </x:c>
      <x:c r="Z15" s="24" t="n">
        <x:v>11</x:v>
      </x:c>
      <x:c r="AA15" s="24" t="n">
        <x:v>12</x:v>
      </x:c>
      <x:c r="AB15" s="19" t="str"/>
    </x:row>
    <x:row r="16" ht="15" hidden="0" customHeight="1">
      <x:c r="A16" s="19" t="str">
        <x:v>Eel 5</x:v>
      </x:c>
      <x:c r="B16" s="19" t="str">
        <x:v>E05FW25</x:v>
      </x:c>
      <x:c r="C16" s="19" t="str">
        <x:v>2012-09</x:v>
      </x:c>
      <x:c r="D16" s="19" t="n">
        <x:v>2012</x:v>
      </x:c>
      <x:c r="E16" s="19" t="str">
        <x:v>Y1</x:v>
      </x:c>
      <x:c r="F16" s="19" t="n">
        <x:v>1</x:v>
      </x:c>
      <x:c r="G16" s="19" t="str">
        <x:v>FW25</x:v>
      </x:c>
      <x:c r="H16" s="19" t="str">
        <x:v>Freshwater</x:v>
      </x:c>
      <x:c r="I16" s="24" t="n">
        <x:v>25</x:v>
      </x:c>
      <x:c r="J16" s="28" t="n">
        <x:v>56.8</x:v>
      </x:c>
      <x:c r="K16" s="28" t="n">
        <x:v>204</x:v>
      </x:c>
      <x:c r="L16" s="28" t="n">
        <x:v>0.6</x:v>
      </x:c>
      <x:c r="M16" s="26" t="n">
        <x:f>IF(OR(L16="",J16=""),"",L16/(J16/100))</x:f>
        <x:v>1.0563380281690142</x:v>
      </x:c>
      <x:c r="N16" s="26" t="n">
        <x:v>94.21345588235293</x:v>
      </x:c>
      <x:c r="O16" s="26" t="n">
        <x:v>43.6173406862745</x:v>
      </x:c>
      <x:c r="P16" s="20" t="b">
        <x:v>0</x:v>
      </x:c>
      <x:c r="Q16" s="20" t="b">
        <x:v>1</x:v>
      </x:c>
      <x:c r="R16" s="20" t="b">
        <x:v>1</x:v>
      </x:c>
      <x:c r="S16" s="20" t="b">
        <x:v>1</x:v>
      </x:c>
      <x:c r="T16" s="19" t="str">
        <x:v>uopt_speed</x:v>
      </x:c>
      <x:c r="U16" s="26" t="n">
        <x:v>0.6</x:v>
      </x:c>
      <x:c r="V16" s="26" t="n">
        <x:v>43.6173406862745</x:v>
      </x:c>
      <x:c r="W16" s="26" t="n">
        <x:v>94.21345588235293</x:v>
      </x:c>
      <x:c r="X16" s="19" t="str">
        <x:v>highest_observed_speed</x:v>
      </x:c>
      <x:c r="Y16" s="19" t="str">
        <x:v>boundary_estimate</x:v>
      </x:c>
      <x:c r="Z16" s="24" t="n">
        <x:v>11</x:v>
      </x:c>
      <x:c r="AA16" s="24" t="n">
        <x:v>12</x:v>
      </x:c>
      <x:c r="AB16" s="19" t="str">
        <x:v>Uopt/minCOT occurs at highest observed speed; treated as boundary_estimate in Table S2.</x:v>
      </x:c>
    </x:row>
    <x:row r="17" ht="15" hidden="0" customHeight="1">
      <x:c r="A17" s="19" t="str">
        <x:v>Eel 6</x:v>
      </x:c>
      <x:c r="B17" s="19" t="str">
        <x:v>E06FW25</x:v>
      </x:c>
      <x:c r="C17" s="19" t="str">
        <x:v>2012-09</x:v>
      </x:c>
      <x:c r="D17" s="19" t="n">
        <x:v>2012</x:v>
      </x:c>
      <x:c r="E17" s="19" t="str">
        <x:v>Y2</x:v>
      </x:c>
      <x:c r="F17" s="19" t="n">
        <x:v>1</x:v>
      </x:c>
      <x:c r="G17" s="19" t="str">
        <x:v>FW25</x:v>
      </x:c>
      <x:c r="H17" s="19" t="str">
        <x:v>Freshwater</x:v>
      </x:c>
      <x:c r="I17" s="24" t="n">
        <x:v>25</x:v>
      </x:c>
      <x:c r="J17" s="28" t="n">
        <x:v>62.7</x:v>
      </x:c>
      <x:c r="K17" s="28" t="n">
        <x:v>347</x:v>
      </x:c>
      <x:c r="L17" s="28" t="n">
        <x:v>0.1</x:v>
      </x:c>
      <x:c r="M17" s="26" t="n">
        <x:f>IF(OR(L17="",J17=""),"",L17/(J17/100))</x:f>
        <x:v>0.1594896331738437</x:v>
      </x:c>
      <x:c r="N17" s="26" t="n">
        <x:v>50.459167867435305</x:v>
      </x:c>
      <x:c r="O17" s="26" t="n">
        <x:v>140.16435518732027</x:v>
      </x:c>
      <x:c r="P17" s="20" t="b">
        <x:v>1</x:v>
      </x:c>
      <x:c r="Q17" s="20" t="b">
        <x:v>0</x:v>
      </x:c>
      <x:c r="R17" s="20" t="b">
        <x:v>0</x:v>
      </x:c>
      <x:c r="S17" s="20" t="b">
        <x:v>0</x:v>
      </x:c>
      <x:c r="T17" s="19" t="str">
        <x:v>lowflow_0.1_m_s</x:v>
      </x:c>
      <x:c r="U17" s="26" t="n">
        <x:v>0.5</x:v>
      </x:c>
      <x:c r="V17" s="26" t="n">
        <x:v>59.69647528264242</x:v>
      </x:c>
      <x:c r="W17" s="26" t="n">
        <x:v>107.45365550875636</x:v>
      </x:c>
      <x:c r="X17" s="19" t="str">
        <x:v>highest_observed_speed</x:v>
      </x:c>
      <x:c r="Y17" s="19" t="str">
        <x:v>boundary_estimate</x:v>
      </x:c>
      <x:c r="Z17" s="24" t="n">
        <x:v>17</x:v>
      </x:c>
      <x:c r="AA17" s="24" t="n">
        <x:v>18</x:v>
      </x:c>
      <x:c r="AB17" s="19" t="str"/>
    </x:row>
    <x:row r="18" ht="15" hidden="0" customHeight="1">
      <x:c r="A18" s="19" t="str">
        <x:v>Eel 6</x:v>
      </x:c>
      <x:c r="B18" s="19" t="str">
        <x:v>E06FW25</x:v>
      </x:c>
      <x:c r="C18" s="19" t="str">
        <x:v>2012-09</x:v>
      </x:c>
      <x:c r="D18" s="19" t="n">
        <x:v>2012</x:v>
      </x:c>
      <x:c r="E18" s="19" t="str">
        <x:v>Y2</x:v>
      </x:c>
      <x:c r="F18" s="19" t="n">
        <x:v>1</x:v>
      </x:c>
      <x:c r="G18" s="19" t="str">
        <x:v>FW25</x:v>
      </x:c>
      <x:c r="H18" s="19" t="str">
        <x:v>Freshwater</x:v>
      </x:c>
      <x:c r="I18" s="24" t="n">
        <x:v>25</x:v>
      </x:c>
      <x:c r="J18" s="28" t="n">
        <x:v>62.7</x:v>
      </x:c>
      <x:c r="K18" s="28" t="n">
        <x:v>347</x:v>
      </x:c>
      <x:c r="L18" s="28" t="n">
        <x:v>0.4</x:v>
      </x:c>
      <x:c r="M18" s="26" t="n">
        <x:f>IF(OR(L18="",J18=""),"",L18/(J18/100))</x:f>
        <x:v>0.6379585326953748</x:v>
      </x:c>
      <x:c r="N18" s="26" t="n">
        <x:v>102.32649855907783</x:v>
      </x:c>
      <x:c r="O18" s="26" t="n">
        <x:v>71.06006844380404</x:v>
      </x:c>
      <x:c r="P18" s="20" t="b">
        <x:v>0</x:v>
      </x:c>
      <x:c r="Q18" s="20" t="b">
        <x:v>1</x:v>
      </x:c>
      <x:c r="R18" s="20" t="b">
        <x:v>0</x:v>
      </x:c>
      <x:c r="S18" s="20" t="b">
        <x:v>1</x:v>
      </x:c>
      <x:c r="T18" s="19" t="str">
        <x:v>active_measured</x:v>
      </x:c>
      <x:c r="U18" s="26" t="n">
        <x:v>0.5</x:v>
      </x:c>
      <x:c r="V18" s="26" t="n">
        <x:v>59.69647528264242</x:v>
      </x:c>
      <x:c r="W18" s="26" t="n">
        <x:v>107.45365550875636</x:v>
      </x:c>
      <x:c r="X18" s="19" t="str">
        <x:v>highest_observed_speed</x:v>
      </x:c>
      <x:c r="Y18" s="19" t="str">
        <x:v>boundary_estimate</x:v>
      </x:c>
      <x:c r="Z18" s="24" t="n">
        <x:v>17</x:v>
      </x:c>
      <x:c r="AA18" s="24" t="n">
        <x:v>18</x:v>
      </x:c>
      <x:c r="AB18" s="19" t="str"/>
    </x:row>
    <x:row r="19" ht="15" hidden="0" customHeight="1">
      <x:c r="A19" s="19" t="str">
        <x:v>Eel 6</x:v>
      </x:c>
      <x:c r="B19" s="19" t="str">
        <x:v>E06FW25</x:v>
      </x:c>
      <x:c r="C19" s="19" t="str">
        <x:v>2012-09</x:v>
      </x:c>
      <x:c r="D19" s="19" t="n">
        <x:v>2012</x:v>
      </x:c>
      <x:c r="E19" s="19" t="str">
        <x:v>Y2</x:v>
      </x:c>
      <x:c r="F19" s="19" t="n">
        <x:v>1</x:v>
      </x:c>
      <x:c r="G19" s="19" t="str">
        <x:v>FW25</x:v>
      </x:c>
      <x:c r="H19" s="19" t="str">
        <x:v>Freshwater</x:v>
      </x:c>
      <x:c r="I19" s="24" t="n">
        <x:v>25</x:v>
      </x:c>
      <x:c r="J19" s="28" t="n">
        <x:v>62.7</x:v>
      </x:c>
      <x:c r="K19" s="28" t="n">
        <x:v>347</x:v>
      </x:c>
      <x:c r="L19" s="28" t="n">
        <x:v>0.5</x:v>
      </x:c>
      <x:c r="M19" s="26" t="n">
        <x:f>IF(OR(L19="",J19=""),"",L19/(J19/100))</x:f>
        <x:v>0.7974481658692185</x:v>
      </x:c>
      <x:c r="N19" s="26" t="n">
        <x:v>107.45365550875636</x:v>
      </x:c>
      <x:c r="O19" s="26" t="n">
        <x:v>59.69647528264242</x:v>
      </x:c>
      <x:c r="P19" s="20" t="b">
        <x:v>0</x:v>
      </x:c>
      <x:c r="Q19" s="20" t="b">
        <x:v>1</x:v>
      </x:c>
      <x:c r="R19" s="20" t="b">
        <x:v>1</x:v>
      </x:c>
      <x:c r="S19" s="20" t="b">
        <x:v>1</x:v>
      </x:c>
      <x:c r="T19" s="19" t="str">
        <x:v>uopt_speed</x:v>
      </x:c>
      <x:c r="U19" s="26" t="n">
        <x:v>0.5</x:v>
      </x:c>
      <x:c r="V19" s="26" t="n">
        <x:v>59.69647528264242</x:v>
      </x:c>
      <x:c r="W19" s="26" t="n">
        <x:v>107.45365550875636</x:v>
      </x:c>
      <x:c r="X19" s="19" t="str">
        <x:v>highest_observed_speed</x:v>
      </x:c>
      <x:c r="Y19" s="19" t="str">
        <x:v>boundary_estimate</x:v>
      </x:c>
      <x:c r="Z19" s="24" t="n">
        <x:v>17</x:v>
      </x:c>
      <x:c r="AA19" s="24" t="n">
        <x:v>18</x:v>
      </x:c>
      <x:c r="AB19" s="19" t="str">
        <x:v>Uopt/minCOT occurs at highest observed speed; treated as boundary_estimate in Table S2.</x:v>
      </x:c>
    </x:row>
    <x:row r="20" ht="15" hidden="0" customHeight="1">
      <x:c r="A20" s="19" t="str">
        <x:v>Eel 7</x:v>
      </x:c>
      <x:c r="B20" s="19" t="str">
        <x:v>E07FW25</x:v>
      </x:c>
      <x:c r="C20" s="19" t="str">
        <x:v>2012-09</x:v>
      </x:c>
      <x:c r="D20" s="19" t="n">
        <x:v>2012</x:v>
      </x:c>
      <x:c r="E20" s="19" t="str">
        <x:v>Y2</x:v>
      </x:c>
      <x:c r="F20" s="19" t="n">
        <x:v>1</x:v>
      </x:c>
      <x:c r="G20" s="19" t="str">
        <x:v>FW25</x:v>
      </x:c>
      <x:c r="H20" s="19" t="str">
        <x:v>Freshwater</x:v>
      </x:c>
      <x:c r="I20" s="24" t="n">
        <x:v>25</x:v>
      </x:c>
      <x:c r="J20" s="28" t="n">
        <x:v>70.3</x:v>
      </x:c>
      <x:c r="K20" s="28" t="n">
        <x:v>570</x:v>
      </x:c>
      <x:c r="L20" s="28" t="n">
        <x:v>0.1</x:v>
      </x:c>
      <x:c r="M20" s="26" t="n">
        <x:f>IF(OR(L20="",J20=""),"",L20/(J20/100))</x:f>
        <x:v>0.1422475106685633</x:v>
      </x:c>
      <x:c r="N20" s="26" t="n">
        <x:v>43.230800000000094</x:v>
      </x:c>
      <x:c r="O20" s="26" t="n">
        <x:v>120.0855555555558</x:v>
      </x:c>
      <x:c r="P20" s="20" t="b">
        <x:v>1</x:v>
      </x:c>
      <x:c r="Q20" s="20" t="b">
        <x:v>0</x:v>
      </x:c>
      <x:c r="R20" s="20" t="b">
        <x:v>0</x:v>
      </x:c>
      <x:c r="S20" s="20" t="b">
        <x:v>0</x:v>
      </x:c>
      <x:c r="T20" s="19" t="str">
        <x:v>lowflow_0.1_m_s</x:v>
      </x:c>
      <x:c r="U20" s="26" t="n">
        <x:v>0.8</x:v>
      </x:c>
      <x:c r="V20" s="26" t="n">
        <x:v>35.35413559941525</x:v>
      </x:c>
      <x:c r="W20" s="26" t="n">
        <x:v>101.81991052631594</x:v>
      </x:c>
      <x:c r="X20" s="19" t="str">
        <x:v>interior_minimum</x:v>
      </x:c>
      <x:c r="Y20" s="19" t="str">
        <x:v>valid</x:v>
      </x:c>
      <x:c r="Z20" s="24" t="n">
        <x:v>18</x:v>
      </x:c>
      <x:c r="AA20" s="24" t="n">
        <x:v>19</x:v>
      </x:c>
      <x:c r="AB20" s="19" t="str"/>
    </x:row>
    <x:row r="21" ht="15" hidden="0" customHeight="1">
      <x:c r="A21" s="19" t="str">
        <x:v>Eel 7</x:v>
      </x:c>
      <x:c r="B21" s="19" t="str">
        <x:v>E07FW25</x:v>
      </x:c>
      <x:c r="C21" s="19" t="str">
        <x:v>2012-09</x:v>
      </x:c>
      <x:c r="D21" s="19" t="n">
        <x:v>2012</x:v>
      </x:c>
      <x:c r="E21" s="19" t="str">
        <x:v>Y2</x:v>
      </x:c>
      <x:c r="F21" s="19" t="n">
        <x:v>1</x:v>
      </x:c>
      <x:c r="G21" s="19" t="str">
        <x:v>FW25</x:v>
      </x:c>
      <x:c r="H21" s="19" t="str">
        <x:v>Freshwater</x:v>
      </x:c>
      <x:c r="I21" s="24" t="n">
        <x:v>25</x:v>
      </x:c>
      <x:c r="J21" s="28" t="n">
        <x:v>70.3</x:v>
      </x:c>
      <x:c r="K21" s="28" t="n">
        <x:v>570</x:v>
      </x:c>
      <x:c r="L21" s="28" t="n">
        <x:v>0.4</x:v>
      </x:c>
      <x:c r="M21" s="26" t="n">
        <x:f>IF(OR(L21="",J21=""),"",L21/(J21/100))</x:f>
        <x:v>0.5689900426742532</x:v>
      </x:c>
      <x:c r="N21" s="26" t="n">
        <x:v>62.42868815789476</x:v>
      </x:c>
      <x:c r="O21" s="26" t="n">
        <x:v>43.35325566520469</x:v>
      </x:c>
      <x:c r="P21" s="20" t="b">
        <x:v>0</x:v>
      </x:c>
      <x:c r="Q21" s="20" t="b">
        <x:v>1</x:v>
      </x:c>
      <x:c r="R21" s="20" t="b">
        <x:v>0</x:v>
      </x:c>
      <x:c r="S21" s="20" t="b">
        <x:v>1</x:v>
      </x:c>
      <x:c r="T21" s="19" t="str">
        <x:v>active_measured</x:v>
      </x:c>
      <x:c r="U21" s="26" t="n">
        <x:v>0.8</x:v>
      </x:c>
      <x:c r="V21" s="26" t="n">
        <x:v>35.35413559941525</x:v>
      </x:c>
      <x:c r="W21" s="26" t="n">
        <x:v>101.81991052631594</x:v>
      </x:c>
      <x:c r="X21" s="19" t="str">
        <x:v>interior_minimum</x:v>
      </x:c>
      <x:c r="Y21" s="19" t="str">
        <x:v>valid</x:v>
      </x:c>
      <x:c r="Z21" s="24" t="n">
        <x:v>18</x:v>
      </x:c>
      <x:c r="AA21" s="24" t="n">
        <x:v>19</x:v>
      </x:c>
      <x:c r="AB21" s="19" t="str"/>
    </x:row>
    <x:row r="22" ht="15" hidden="0" customHeight="1">
      <x:c r="A22" s="19" t="str">
        <x:v>Eel 7</x:v>
      </x:c>
      <x:c r="B22" s="19" t="str">
        <x:v>E07FW25</x:v>
      </x:c>
      <x:c r="C22" s="19" t="str">
        <x:v>2012-09</x:v>
      </x:c>
      <x:c r="D22" s="19" t="n">
        <x:v>2012</x:v>
      </x:c>
      <x:c r="E22" s="19" t="str">
        <x:v>Y2</x:v>
      </x:c>
      <x:c r="F22" s="19" t="n">
        <x:v>1</x:v>
      </x:c>
      <x:c r="G22" s="19" t="str">
        <x:v>FW25</x:v>
      </x:c>
      <x:c r="H22" s="19" t="str">
        <x:v>Freshwater</x:v>
      </x:c>
      <x:c r="I22" s="24" t="n">
        <x:v>25</x:v>
      </x:c>
      <x:c r="J22" s="28" t="n">
        <x:v>70.3</x:v>
      </x:c>
      <x:c r="K22" s="28" t="n">
        <x:v>570</x:v>
      </x:c>
      <x:c r="L22" s="28" t="n">
        <x:v>0.5</x:v>
      </x:c>
      <x:c r="M22" s="26" t="n">
        <x:f>IF(OR(L22="",J22=""),"",L22/(J22/100))</x:f>
        <x:v>0.7112375533428166</x:v>
      </x:c>
      <x:c r="N22" s="26" t="n">
        <x:v>80.3357781376519</x:v>
      </x:c>
      <x:c r="O22" s="26" t="n">
        <x:v>44.63098785425105</x:v>
      </x:c>
      <x:c r="P22" s="20" t="b">
        <x:v>0</x:v>
      </x:c>
      <x:c r="Q22" s="20" t="b">
        <x:v>1</x:v>
      </x:c>
      <x:c r="R22" s="20" t="b">
        <x:v>0</x:v>
      </x:c>
      <x:c r="S22" s="20" t="b">
        <x:v>1</x:v>
      </x:c>
      <x:c r="T22" s="19" t="str">
        <x:v>active_measured</x:v>
      </x:c>
      <x:c r="U22" s="26" t="n">
        <x:v>0.8</x:v>
      </x:c>
      <x:c r="V22" s="26" t="n">
        <x:v>35.35413559941525</x:v>
      </x:c>
      <x:c r="W22" s="26" t="n">
        <x:v>101.81991052631594</x:v>
      </x:c>
      <x:c r="X22" s="19" t="str">
        <x:v>interior_minimum</x:v>
      </x:c>
      <x:c r="Y22" s="19" t="str">
        <x:v>valid</x:v>
      </x:c>
      <x:c r="Z22" s="24" t="n">
        <x:v>18</x:v>
      </x:c>
      <x:c r="AA22" s="24" t="n">
        <x:v>19</x:v>
      </x:c>
      <x:c r="AB22" s="19" t="str"/>
    </x:row>
    <x:row r="23" ht="15" hidden="0" customHeight="1">
      <x:c r="A23" s="19" t="str">
        <x:v>Eel 7</x:v>
      </x:c>
      <x:c r="B23" s="19" t="str">
        <x:v>E07FW25</x:v>
      </x:c>
      <x:c r="C23" s="19" t="str">
        <x:v>2012-09</x:v>
      </x:c>
      <x:c r="D23" s="19" t="n">
        <x:v>2012</x:v>
      </x:c>
      <x:c r="E23" s="19" t="str">
        <x:v>Y2</x:v>
      </x:c>
      <x:c r="F23" s="19" t="n">
        <x:v>1</x:v>
      </x:c>
      <x:c r="G23" s="19" t="str">
        <x:v>FW25</x:v>
      </x:c>
      <x:c r="H23" s="19" t="str">
        <x:v>Freshwater</x:v>
      </x:c>
      <x:c r="I23" s="24" t="n">
        <x:v>25</x:v>
      </x:c>
      <x:c r="J23" s="28" t="n">
        <x:v>70.3</x:v>
      </x:c>
      <x:c r="K23" s="28" t="n">
        <x:v>570</x:v>
      </x:c>
      <x:c r="L23" s="28" t="n">
        <x:v>0.6</x:v>
      </x:c>
      <x:c r="M23" s="26" t="n">
        <x:f>IF(OR(L23="",J23=""),"",L23/(J23/100))</x:f>
        <x:v>0.8534850640113798</x:v>
      </x:c>
      <x:c r="N23" s="26" t="n">
        <x:v>87.17263289473678</x:v>
      </x:c>
      <x:c r="O23" s="26" t="n">
        <x:v>40.35770041422999</x:v>
      </x:c>
      <x:c r="P23" s="20" t="b">
        <x:v>0</x:v>
      </x:c>
      <x:c r="Q23" s="20" t="b">
        <x:v>1</x:v>
      </x:c>
      <x:c r="R23" s="20" t="b">
        <x:v>0</x:v>
      </x:c>
      <x:c r="S23" s="20" t="b">
        <x:v>1</x:v>
      </x:c>
      <x:c r="T23" s="19" t="str">
        <x:v>active_measured</x:v>
      </x:c>
      <x:c r="U23" s="26" t="n">
        <x:v>0.8</x:v>
      </x:c>
      <x:c r="V23" s="26" t="n">
        <x:v>35.35413559941525</x:v>
      </x:c>
      <x:c r="W23" s="26" t="n">
        <x:v>101.81991052631594</x:v>
      </x:c>
      <x:c r="X23" s="19" t="str">
        <x:v>interior_minimum</x:v>
      </x:c>
      <x:c r="Y23" s="19" t="str">
        <x:v>valid</x:v>
      </x:c>
      <x:c r="Z23" s="24" t="n">
        <x:v>18</x:v>
      </x:c>
      <x:c r="AA23" s="24" t="n">
        <x:v>19</x:v>
      </x:c>
      <x:c r="AB23" s="19" t="str"/>
    </x:row>
    <x:row r="24" ht="15" hidden="0" customHeight="1">
      <x:c r="A24" s="19" t="str">
        <x:v>Eel 7</x:v>
      </x:c>
      <x:c r="B24" s="19" t="str">
        <x:v>E07FW25</x:v>
      </x:c>
      <x:c r="C24" s="19" t="str">
        <x:v>2012-09</x:v>
      </x:c>
      <x:c r="D24" s="19" t="n">
        <x:v>2012</x:v>
      </x:c>
      <x:c r="E24" s="19" t="str">
        <x:v>Y2</x:v>
      </x:c>
      <x:c r="F24" s="19" t="n">
        <x:v>1</x:v>
      </x:c>
      <x:c r="G24" s="19" t="str">
        <x:v>FW25</x:v>
      </x:c>
      <x:c r="H24" s="19" t="str">
        <x:v>Freshwater</x:v>
      </x:c>
      <x:c r="I24" s="24" t="n">
        <x:v>25</x:v>
      </x:c>
      <x:c r="J24" s="28" t="n">
        <x:v>70.3</x:v>
      </x:c>
      <x:c r="K24" s="28" t="n">
        <x:v>570</x:v>
      </x:c>
      <x:c r="L24" s="28" t="n">
        <x:v>0.7</x:v>
      </x:c>
      <x:c r="M24" s="26" t="n">
        <x:f>IF(OR(L24="",J24=""),"",L24/(J24/100))</x:f>
        <x:v>0.9957325746799431</x:v>
      </x:c>
      <x:c r="N24" s="26" t="n">
        <x:v>100.39784473684213</x:v>
      </x:c>
      <x:c r="O24" s="26" t="n">
        <x:v>39.840414578111954</x:v>
      </x:c>
      <x:c r="P24" s="20" t="b">
        <x:v>0</x:v>
      </x:c>
      <x:c r="Q24" s="20" t="b">
        <x:v>1</x:v>
      </x:c>
      <x:c r="R24" s="20" t="b">
        <x:v>0</x:v>
      </x:c>
      <x:c r="S24" s="20" t="b">
        <x:v>1</x:v>
      </x:c>
      <x:c r="T24" s="19" t="str">
        <x:v>active_measured</x:v>
      </x:c>
      <x:c r="U24" s="26" t="n">
        <x:v>0.8</x:v>
      </x:c>
      <x:c r="V24" s="26" t="n">
        <x:v>35.35413559941525</x:v>
      </x:c>
      <x:c r="W24" s="26" t="n">
        <x:v>101.81991052631594</x:v>
      </x:c>
      <x:c r="X24" s="19" t="str">
        <x:v>interior_minimum</x:v>
      </x:c>
      <x:c r="Y24" s="19" t="str">
        <x:v>valid</x:v>
      </x:c>
      <x:c r="Z24" s="24" t="n">
        <x:v>18</x:v>
      </x:c>
      <x:c r="AA24" s="24" t="n">
        <x:v>19</x:v>
      </x:c>
      <x:c r="AB24" s="19" t="str"/>
    </x:row>
    <x:row r="25" ht="15" hidden="0" customHeight="1">
      <x:c r="A25" s="19" t="str">
        <x:v>Eel 7</x:v>
      </x:c>
      <x:c r="B25" s="19" t="str">
        <x:v>E07FW25</x:v>
      </x:c>
      <x:c r="C25" s="19" t="str">
        <x:v>2012-09</x:v>
      </x:c>
      <x:c r="D25" s="19" t="n">
        <x:v>2012</x:v>
      </x:c>
      <x:c r="E25" s="19" t="str">
        <x:v>Y2</x:v>
      </x:c>
      <x:c r="F25" s="19" t="n">
        <x:v>1</x:v>
      </x:c>
      <x:c r="G25" s="19" t="str">
        <x:v>FW25</x:v>
      </x:c>
      <x:c r="H25" s="19" t="str">
        <x:v>Freshwater</x:v>
      </x:c>
      <x:c r="I25" s="24" t="n">
        <x:v>25</x:v>
      </x:c>
      <x:c r="J25" s="28" t="n">
        <x:v>70.3</x:v>
      </x:c>
      <x:c r="K25" s="28" t="n">
        <x:v>570</x:v>
      </x:c>
      <x:c r="L25" s="28" t="n">
        <x:v>0.8</x:v>
      </x:c>
      <x:c r="M25" s="26" t="n">
        <x:f>IF(OR(L25="",J25=""),"",L25/(J25/100))</x:f>
        <x:v>1.1379800853485065</x:v>
      </x:c>
      <x:c r="N25" s="26" t="n">
        <x:v>101.81991052631594</x:v>
      </x:c>
      <x:c r="O25" s="26" t="n">
        <x:v>35.35413559941525</x:v>
      </x:c>
      <x:c r="P25" s="20" t="b">
        <x:v>0</x:v>
      </x:c>
      <x:c r="Q25" s="20" t="b">
        <x:v>1</x:v>
      </x:c>
      <x:c r="R25" s="20" t="b">
        <x:v>1</x:v>
      </x:c>
      <x:c r="S25" s="20" t="b">
        <x:v>1</x:v>
      </x:c>
      <x:c r="T25" s="19" t="str">
        <x:v>uopt_speed</x:v>
      </x:c>
      <x:c r="U25" s="26" t="n">
        <x:v>0.8</x:v>
      </x:c>
      <x:c r="V25" s="26" t="n">
        <x:v>35.35413559941525</x:v>
      </x:c>
      <x:c r="W25" s="26" t="n">
        <x:v>101.81991052631594</x:v>
      </x:c>
      <x:c r="X25" s="19" t="str">
        <x:v>interior_minimum</x:v>
      </x:c>
      <x:c r="Y25" s="19" t="str">
        <x:v>valid</x:v>
      </x:c>
      <x:c r="Z25" s="24" t="n">
        <x:v>18</x:v>
      </x:c>
      <x:c r="AA25" s="24" t="n">
        <x:v>19</x:v>
      </x:c>
      <x:c r="AB25" s="19" t="str">
        <x:v>Uopt/minCOT occurs at an interior observed active speed.</x:v>
      </x:c>
    </x:row>
    <x:row r="26" ht="15" hidden="0" customHeight="1">
      <x:c r="A26" s="19" t="str">
        <x:v>Eel 7</x:v>
      </x:c>
      <x:c r="B26" s="19" t="str">
        <x:v>E07FW25</x:v>
      </x:c>
      <x:c r="C26" s="19" t="str">
        <x:v>2012-09</x:v>
      </x:c>
      <x:c r="D26" s="19" t="n">
        <x:v>2012</x:v>
      </x:c>
      <x:c r="E26" s="19" t="str">
        <x:v>Y2</x:v>
      </x:c>
      <x:c r="F26" s="19" t="n">
        <x:v>1</x:v>
      </x:c>
      <x:c r="G26" s="19" t="str">
        <x:v>FW25</x:v>
      </x:c>
      <x:c r="H26" s="19" t="str">
        <x:v>Freshwater</x:v>
      </x:c>
      <x:c r="I26" s="24" t="n">
        <x:v>25</x:v>
      </x:c>
      <x:c r="J26" s="28" t="n">
        <x:v>70.3</x:v>
      </x:c>
      <x:c r="K26" s="28" t="n">
        <x:v>570</x:v>
      </x:c>
      <x:c r="L26" s="28" t="n">
        <x:v>0.9</x:v>
      </x:c>
      <x:c r="M26" s="26" t="n">
        <x:f>IF(OR(L26="",J26=""),"",L26/(J26/100))</x:f>
        <x:v>1.2802275960170697</x:v>
      </x:c>
      <x:c r="N26" s="26" t="n">
        <x:v>157.5648894736842</x:v>
      </x:c>
      <x:c r="O26" s="26" t="n">
        <x:v>48.631138726445734</x:v>
      </x:c>
      <x:c r="P26" s="20" t="b">
        <x:v>0</x:v>
      </x:c>
      <x:c r="Q26" s="20" t="b">
        <x:v>1</x:v>
      </x:c>
      <x:c r="R26" s="20" t="b">
        <x:v>0</x:v>
      </x:c>
      <x:c r="S26" s="20" t="b">
        <x:v>1</x:v>
      </x:c>
      <x:c r="T26" s="19" t="str">
        <x:v>active_measured</x:v>
      </x:c>
      <x:c r="U26" s="26" t="n">
        <x:v>0.8</x:v>
      </x:c>
      <x:c r="V26" s="26" t="n">
        <x:v>35.35413559941525</x:v>
      </x:c>
      <x:c r="W26" s="26" t="n">
        <x:v>101.81991052631594</x:v>
      </x:c>
      <x:c r="X26" s="19" t="str">
        <x:v>interior_minimum</x:v>
      </x:c>
      <x:c r="Y26" s="19" t="str">
        <x:v>valid</x:v>
      </x:c>
      <x:c r="Z26" s="24" t="n">
        <x:v>18</x:v>
      </x:c>
      <x:c r="AA26" s="24" t="n">
        <x:v>19</x:v>
      </x:c>
      <x:c r="AB26" s="19" t="str"/>
    </x:row>
    <x:row r="27" ht="15" hidden="0" customHeight="1">
      <x:c r="A27" s="19" t="str">
        <x:v>Eel 7</x:v>
      </x:c>
      <x:c r="B27" s="19" t="str">
        <x:v>E07FW25</x:v>
      </x:c>
      <x:c r="C27" s="19" t="str">
        <x:v>2012-09</x:v>
      </x:c>
      <x:c r="D27" s="19" t="n">
        <x:v>2012</x:v>
      </x:c>
      <x:c r="E27" s="19" t="str">
        <x:v>Y2</x:v>
      </x:c>
      <x:c r="F27" s="19" t="n">
        <x:v>1</x:v>
      </x:c>
      <x:c r="G27" s="19" t="str">
        <x:v>FW25</x:v>
      </x:c>
      <x:c r="H27" s="19" t="str">
        <x:v>Freshwater</x:v>
      </x:c>
      <x:c r="I27" s="24" t="n">
        <x:v>25</x:v>
      </x:c>
      <x:c r="J27" s="28" t="n">
        <x:v>70.3</x:v>
      </x:c>
      <x:c r="K27" s="28" t="n">
        <x:v>570</x:v>
      </x:c>
      <x:c r="L27" s="28" t="n">
        <x:v>1</x:v>
      </x:c>
      <x:c r="M27" s="26" t="n">
        <x:f>IF(OR(L27="",J27=""),"",L27/(J27/100))</x:f>
        <x:v>1.4224751066856332</x:v>
      </x:c>
      <x:c r="N27" s="26" t="n">
        <x:v>218.9981315789479</x:v>
      </x:c>
      <x:c r="O27" s="26" t="n">
        <x:v>60.83281432748552</x:v>
      </x:c>
      <x:c r="P27" s="20" t="b">
        <x:v>0</x:v>
      </x:c>
      <x:c r="Q27" s="20" t="b">
        <x:v>1</x:v>
      </x:c>
      <x:c r="R27" s="20" t="b">
        <x:v>0</x:v>
      </x:c>
      <x:c r="S27" s="20" t="b">
        <x:v>1</x:v>
      </x:c>
      <x:c r="T27" s="19" t="str">
        <x:v>active_measured</x:v>
      </x:c>
      <x:c r="U27" s="26" t="n">
        <x:v>0.8</x:v>
      </x:c>
      <x:c r="V27" s="26" t="n">
        <x:v>35.35413559941525</x:v>
      </x:c>
      <x:c r="W27" s="26" t="n">
        <x:v>101.81991052631594</x:v>
      </x:c>
      <x:c r="X27" s="19" t="str">
        <x:v>interior_minimum</x:v>
      </x:c>
      <x:c r="Y27" s="19" t="str">
        <x:v>valid</x:v>
      </x:c>
      <x:c r="Z27" s="24" t="n">
        <x:v>18</x:v>
      </x:c>
      <x:c r="AA27" s="24" t="n">
        <x:v>19</x:v>
      </x:c>
      <x:c r="AB27" s="19" t="str"/>
    </x:row>
    <x:row r="28" ht="15" hidden="0" customHeight="1">
      <x:c r="A28" s="19" t="str">
        <x:v>Eel 7</x:v>
      </x:c>
      <x:c r="B28" s="19" t="str">
        <x:v>E07FW25</x:v>
      </x:c>
      <x:c r="C28" s="19" t="str">
        <x:v>2012-09</x:v>
      </x:c>
      <x:c r="D28" s="19" t="n">
        <x:v>2012</x:v>
      </x:c>
      <x:c r="E28" s="19" t="str">
        <x:v>Y2</x:v>
      </x:c>
      <x:c r="F28" s="19" t="n">
        <x:v>1</x:v>
      </x:c>
      <x:c r="G28" s="19" t="str">
        <x:v>FW25</x:v>
      </x:c>
      <x:c r="H28" s="19" t="str">
        <x:v>Freshwater</x:v>
      </x:c>
      <x:c r="I28" s="24" t="n">
        <x:v>25</x:v>
      </x:c>
      <x:c r="J28" s="28" t="n">
        <x:v>70.3</x:v>
      </x:c>
      <x:c r="K28" s="28" t="n">
        <x:v>570</x:v>
      </x:c>
      <x:c r="L28" s="28" t="n">
        <x:v>1.1</x:v>
      </x:c>
      <x:c r="M28" s="26" t="n">
        <x:f>IF(OR(L28="",J28=""),"",L28/(J28/100))</x:f>
        <x:v>1.5647226173541966</x:v>
      </x:c>
      <x:c r="N28" s="26" t="n">
        <x:v>226.3928736842104</x:v>
      </x:c>
      <x:c r="O28" s="26" t="n">
        <x:v>57.169917597022824</x:v>
      </x:c>
      <x:c r="P28" s="20" t="b">
        <x:v>0</x:v>
      </x:c>
      <x:c r="Q28" s="20" t="b">
        <x:v>1</x:v>
      </x:c>
      <x:c r="R28" s="20" t="b">
        <x:v>0</x:v>
      </x:c>
      <x:c r="S28" s="20" t="b">
        <x:v>1</x:v>
      </x:c>
      <x:c r="T28" s="19" t="str">
        <x:v>active_measured</x:v>
      </x:c>
      <x:c r="U28" s="26" t="n">
        <x:v>0.8</x:v>
      </x:c>
      <x:c r="V28" s="26" t="n">
        <x:v>35.35413559941525</x:v>
      </x:c>
      <x:c r="W28" s="26" t="n">
        <x:v>101.81991052631594</x:v>
      </x:c>
      <x:c r="X28" s="19" t="str">
        <x:v>interior_minimum</x:v>
      </x:c>
      <x:c r="Y28" s="19" t="str">
        <x:v>valid</x:v>
      </x:c>
      <x:c r="Z28" s="24" t="n">
        <x:v>18</x:v>
      </x:c>
      <x:c r="AA28" s="24" t="n">
        <x:v>19</x:v>
      </x:c>
      <x:c r="AB28" s="19" t="str"/>
    </x:row>
    <x:row r="29" ht="15" hidden="0" customHeight="1">
      <x:c r="A29" s="19" t="str">
        <x:v>Eel 7</x:v>
      </x:c>
      <x:c r="B29" s="19" t="str">
        <x:v>E07FW25</x:v>
      </x:c>
      <x:c r="C29" s="19" t="str">
        <x:v>2012-09</x:v>
      </x:c>
      <x:c r="D29" s="19" t="n">
        <x:v>2012</x:v>
      </x:c>
      <x:c r="E29" s="19" t="str">
        <x:v>Y2</x:v>
      </x:c>
      <x:c r="F29" s="19" t="n">
        <x:v>1</x:v>
      </x:c>
      <x:c r="G29" s="19" t="str">
        <x:v>FW25</x:v>
      </x:c>
      <x:c r="H29" s="19" t="str">
        <x:v>Freshwater</x:v>
      </x:c>
      <x:c r="I29" s="24" t="n">
        <x:v>25</x:v>
      </x:c>
      <x:c r="J29" s="28" t="n">
        <x:v>70.3</x:v>
      </x:c>
      <x:c r="K29" s="28" t="n">
        <x:v>570</x:v>
      </x:c>
      <x:c r="L29" s="28" t="n">
        <x:v>1.2</x:v>
      </x:c>
      <x:c r="M29" s="26" t="n">
        <x:f>IF(OR(L29="",J29=""),"",L29/(J29/100))</x:f>
        <x:v>1.7069701280227596</x:v>
      </x:c>
      <x:c r="N29" s="26" t="n">
        <x:v>210.844954385965</x:v>
      </x:c>
      <x:c r="O29" s="26" t="n">
        <x:v>48.806702404158564</x:v>
      </x:c>
      <x:c r="P29" s="20" t="b">
        <x:v>0</x:v>
      </x:c>
      <x:c r="Q29" s="20" t="b">
        <x:v>1</x:v>
      </x:c>
      <x:c r="R29" s="20" t="b">
        <x:v>0</x:v>
      </x:c>
      <x:c r="S29" s="20" t="b">
        <x:v>1</x:v>
      </x:c>
      <x:c r="T29" s="19" t="str">
        <x:v>active_measured</x:v>
      </x:c>
      <x:c r="U29" s="26" t="n">
        <x:v>0.8</x:v>
      </x:c>
      <x:c r="V29" s="26" t="n">
        <x:v>35.35413559941525</x:v>
      </x:c>
      <x:c r="W29" s="26" t="n">
        <x:v>101.81991052631594</x:v>
      </x:c>
      <x:c r="X29" s="19" t="str">
        <x:v>interior_minimum</x:v>
      </x:c>
      <x:c r="Y29" s="19" t="str">
        <x:v>valid</x:v>
      </x:c>
      <x:c r="Z29" s="24" t="n">
        <x:v>18</x:v>
      </x:c>
      <x:c r="AA29" s="24" t="n">
        <x:v>19</x:v>
      </x:c>
      <x:c r="AB29" s="19" t="str"/>
    </x:row>
    <x:row r="30" ht="15" hidden="0" customHeight="1">
      <x:c r="A30" s="19" t="str">
        <x:v>Eel 7</x:v>
      </x:c>
      <x:c r="B30" s="19" t="str">
        <x:v>E07FW25</x:v>
      </x:c>
      <x:c r="C30" s="19" t="str">
        <x:v>2012-09</x:v>
      </x:c>
      <x:c r="D30" s="19" t="n">
        <x:v>2012</x:v>
      </x:c>
      <x:c r="E30" s="19" t="str">
        <x:v>Y2</x:v>
      </x:c>
      <x:c r="F30" s="19" t="n">
        <x:v>1</x:v>
      </x:c>
      <x:c r="G30" s="19" t="str">
        <x:v>FW25</x:v>
      </x:c>
      <x:c r="H30" s="19" t="str">
        <x:v>Freshwater</x:v>
      </x:c>
      <x:c r="I30" s="24" t="n">
        <x:v>25</x:v>
      </x:c>
      <x:c r="J30" s="28" t="n">
        <x:v>70.3</x:v>
      </x:c>
      <x:c r="K30" s="28" t="n">
        <x:v>570</x:v>
      </x:c>
      <x:c r="L30" s="28" t="n">
        <x:v>1.3</x:v>
      </x:c>
      <x:c r="M30" s="26" t="n">
        <x:f>IF(OR(L30="",J30=""),"",L30/(J30/100))</x:f>
        <x:v>1.849217638691323</x:v>
      </x:c>
      <x:c r="N30" s="26" t="n">
        <x:v>310.5791684210531</x:v>
      </x:c>
      <x:c r="O30" s="26" t="n">
        <x:v>66.3630701754387</x:v>
      </x:c>
      <x:c r="P30" s="20" t="b">
        <x:v>0</x:v>
      </x:c>
      <x:c r="Q30" s="20" t="b">
        <x:v>1</x:v>
      </x:c>
      <x:c r="R30" s="20" t="b">
        <x:v>0</x:v>
      </x:c>
      <x:c r="S30" s="20" t="b">
        <x:v>1</x:v>
      </x:c>
      <x:c r="T30" s="19" t="str">
        <x:v>active_measured</x:v>
      </x:c>
      <x:c r="U30" s="26" t="n">
        <x:v>0.8</x:v>
      </x:c>
      <x:c r="V30" s="26" t="n">
        <x:v>35.35413559941525</x:v>
      </x:c>
      <x:c r="W30" s="26" t="n">
        <x:v>101.81991052631594</x:v>
      </x:c>
      <x:c r="X30" s="19" t="str">
        <x:v>interior_minimum</x:v>
      </x:c>
      <x:c r="Y30" s="19" t="str">
        <x:v>valid</x:v>
      </x:c>
      <x:c r="Z30" s="24" t="n">
        <x:v>18</x:v>
      </x:c>
      <x:c r="AA30" s="24" t="n">
        <x:v>19</x:v>
      </x:c>
      <x:c r="AB30" s="19" t="str"/>
    </x:row>
    <x:row r="31" ht="15" hidden="0" customHeight="1">
      <x:c r="A31" s="19" t="str">
        <x:v>Eel 8</x:v>
      </x:c>
      <x:c r="B31" s="19" t="str">
        <x:v>E08FW25</x:v>
      </x:c>
      <x:c r="C31" s="19" t="str">
        <x:v>2012-09</x:v>
      </x:c>
      <x:c r="D31" s="19" t="n">
        <x:v>2012</x:v>
      </x:c>
      <x:c r="E31" s="19" t="str">
        <x:v>Y2</x:v>
      </x:c>
      <x:c r="F31" s="19" t="n">
        <x:v>1</x:v>
      </x:c>
      <x:c r="G31" s="19" t="str">
        <x:v>FW25</x:v>
      </x:c>
      <x:c r="H31" s="19" t="str">
        <x:v>Freshwater</x:v>
      </x:c>
      <x:c r="I31" s="24" t="n">
        <x:v>25</x:v>
      </x:c>
      <x:c r="J31" s="28" t="n">
        <x:v>66.8</x:v>
      </x:c>
      <x:c r="K31" s="28" t="n">
        <x:v>310</x:v>
      </x:c>
      <x:c r="L31" s="28" t="n">
        <x:v>0.1</x:v>
      </x:c>
      <x:c r="M31" s="26" t="n">
        <x:f>IF(OR(L31="",J31=""),"",L31/(J31/100))</x:f>
        <x:v>0.14970059880239522</x:v>
      </x:c>
      <x:c r="N31" s="26" t="n">
        <x:v>62.066655736490375</x:v>
      </x:c>
      <x:c r="O31" s="26" t="n">
        <x:v>172.40737704580658</x:v>
      </x:c>
      <x:c r="P31" s="20" t="b">
        <x:v>1</x:v>
      </x:c>
      <x:c r="Q31" s="20" t="b">
        <x:v>0</x:v>
      </x:c>
      <x:c r="R31" s="20" t="b">
        <x:v>0</x:v>
      </x:c>
      <x:c r="S31" s="20" t="b">
        <x:v>0</x:v>
      </x:c>
      <x:c r="T31" s="19" t="str">
        <x:v>lowflow_0.1_m_s</x:v>
      </x:c>
      <x:c r="U31" s="26" t="n">
        <x:v>0.4</x:v>
      </x:c>
      <x:c r="V31" s="26" t="n">
        <x:v>48.53396214677416</x:v>
      </x:c>
      <x:c r="W31" s="26" t="n">
        <x:v>69.88890549135479</x:v>
      </x:c>
      <x:c r="X31" s="19" t="str">
        <x:v>lowest_active_speed</x:v>
      </x:c>
      <x:c r="Y31" s="19" t="str">
        <x:v>boundary_estimate</x:v>
      </x:c>
      <x:c r="Z31" s="24" t="n">
        <x:v>19</x:v>
      </x:c>
      <x:c r="AA31" s="24" t="n">
        <x:v>20</x:v>
      </x:c>
      <x:c r="AB31" s="19" t="str"/>
    </x:row>
    <x:row r="32" ht="15" hidden="0" customHeight="1">
      <x:c r="A32" s="19" t="str">
        <x:v>Eel 8</x:v>
      </x:c>
      <x:c r="B32" s="19" t="str">
        <x:v>E08FW25</x:v>
      </x:c>
      <x:c r="C32" s="19" t="str">
        <x:v>2012-09</x:v>
      </x:c>
      <x:c r="D32" s="19" t="n">
        <x:v>2012</x:v>
      </x:c>
      <x:c r="E32" s="19" t="str">
        <x:v>Y2</x:v>
      </x:c>
      <x:c r="F32" s="19" t="n">
        <x:v>1</x:v>
      </x:c>
      <x:c r="G32" s="19" t="str">
        <x:v>FW25</x:v>
      </x:c>
      <x:c r="H32" s="19" t="str">
        <x:v>Freshwater</x:v>
      </x:c>
      <x:c r="I32" s="24" t="n">
        <x:v>25</x:v>
      </x:c>
      <x:c r="J32" s="28" t="n">
        <x:v>66.8</x:v>
      </x:c>
      <x:c r="K32" s="28" t="n">
        <x:v>310</x:v>
      </x:c>
      <x:c r="L32" s="28" t="n">
        <x:v>0.4</x:v>
      </x:c>
      <x:c r="M32" s="26" t="n">
        <x:f>IF(OR(L32="",J32=""),"",L32/(J32/100))</x:f>
        <x:v>0.5988023952095809</x:v>
      </x:c>
      <x:c r="N32" s="26" t="n">
        <x:v>69.88890549135479</x:v>
      </x:c>
      <x:c r="O32" s="26" t="n">
        <x:v>48.53396214677416</x:v>
      </x:c>
      <x:c r="P32" s="20" t="b">
        <x:v>0</x:v>
      </x:c>
      <x:c r="Q32" s="20" t="b">
        <x:v>1</x:v>
      </x:c>
      <x:c r="R32" s="20" t="b">
        <x:v>1</x:v>
      </x:c>
      <x:c r="S32" s="20" t="b">
        <x:v>1</x:v>
      </x:c>
      <x:c r="T32" s="19" t="str">
        <x:v>uopt_speed</x:v>
      </x:c>
      <x:c r="U32" s="26" t="n">
        <x:v>0.4</x:v>
      </x:c>
      <x:c r="V32" s="26" t="n">
        <x:v>48.53396214677416</x:v>
      </x:c>
      <x:c r="W32" s="26" t="n">
        <x:v>69.88890549135479</x:v>
      </x:c>
      <x:c r="X32" s="19" t="str">
        <x:v>lowest_active_speed</x:v>
      </x:c>
      <x:c r="Y32" s="19" t="str">
        <x:v>boundary_estimate</x:v>
      </x:c>
      <x:c r="Z32" s="24" t="n">
        <x:v>19</x:v>
      </x:c>
      <x:c r="AA32" s="24" t="n">
        <x:v>20</x:v>
      </x:c>
      <x:c r="AB32" s="19" t="str">
        <x:v>Uopt/minCOT occurs at lowest active speed; treated as boundary_estimate in Table S2.</x:v>
      </x:c>
    </x:row>
    <x:row r="33" ht="15" hidden="0" customHeight="1">
      <x:c r="A33" s="19" t="str">
        <x:v>Eel 8</x:v>
      </x:c>
      <x:c r="B33" s="19" t="str">
        <x:v>E08FW25</x:v>
      </x:c>
      <x:c r="C33" s="19" t="str">
        <x:v>2012-09</x:v>
      </x:c>
      <x:c r="D33" s="19" t="n">
        <x:v>2012</x:v>
      </x:c>
      <x:c r="E33" s="19" t="str">
        <x:v>Y2</x:v>
      </x:c>
      <x:c r="F33" s="19" t="n">
        <x:v>1</x:v>
      </x:c>
      <x:c r="G33" s="19" t="str">
        <x:v>FW25</x:v>
      </x:c>
      <x:c r="H33" s="19" t="str">
        <x:v>Freshwater</x:v>
      </x:c>
      <x:c r="I33" s="24" t="n">
        <x:v>25</x:v>
      </x:c>
      <x:c r="J33" s="28" t="n">
        <x:v>66.8</x:v>
      </x:c>
      <x:c r="K33" s="28" t="n">
        <x:v>310</x:v>
      </x:c>
      <x:c r="L33" s="28" t="n">
        <x:v>0.5</x:v>
      </x:c>
      <x:c r="M33" s="26" t="n">
        <x:f>IF(OR(L33="",J33=""),"",L33/(J33/100))</x:f>
        <x:v>0.7485029940119762</x:v>
      </x:c>
      <x:c r="N33" s="26" t="n">
        <x:v>101.9958649034515</x:v>
      </x:c>
      <x:c r="O33" s="26" t="n">
        <x:v>56.66436939080639</x:v>
      </x:c>
      <x:c r="P33" s="20" t="b">
        <x:v>0</x:v>
      </x:c>
      <x:c r="Q33" s="20" t="b">
        <x:v>1</x:v>
      </x:c>
      <x:c r="R33" s="20" t="b">
        <x:v>0</x:v>
      </x:c>
      <x:c r="S33" s="20" t="b">
        <x:v>1</x:v>
      </x:c>
      <x:c r="T33" s="19" t="str">
        <x:v>active_measured</x:v>
      </x:c>
      <x:c r="U33" s="26" t="n">
        <x:v>0.4</x:v>
      </x:c>
      <x:c r="V33" s="26" t="n">
        <x:v>48.53396214677416</x:v>
      </x:c>
      <x:c r="W33" s="26" t="n">
        <x:v>69.88890549135479</x:v>
      </x:c>
      <x:c r="X33" s="19" t="str">
        <x:v>lowest_active_speed</x:v>
      </x:c>
      <x:c r="Y33" s="19" t="str">
        <x:v>boundary_estimate</x:v>
      </x:c>
      <x:c r="Z33" s="24" t="n">
        <x:v>19</x:v>
      </x:c>
      <x:c r="AA33" s="24" t="n">
        <x:v>20</x:v>
      </x:c>
      <x:c r="AB33" s="19" t="str"/>
    </x:row>
    <x:row r="34" ht="15" hidden="0" customHeight="1">
      <x:c r="A34" s="19" t="str">
        <x:v>Eel 8</x:v>
      </x:c>
      <x:c r="B34" s="19" t="str">
        <x:v>E08FW25</x:v>
      </x:c>
      <x:c r="C34" s="19" t="str">
        <x:v>2012-09</x:v>
      </x:c>
      <x:c r="D34" s="19" t="n">
        <x:v>2012</x:v>
      </x:c>
      <x:c r="E34" s="19" t="str">
        <x:v>Y2</x:v>
      </x:c>
      <x:c r="F34" s="19" t="n">
        <x:v>1</x:v>
      </x:c>
      <x:c r="G34" s="19" t="str">
        <x:v>FW25</x:v>
      </x:c>
      <x:c r="H34" s="19" t="str">
        <x:v>Freshwater</x:v>
      </x:c>
      <x:c r="I34" s="24" t="n">
        <x:v>25</x:v>
      </x:c>
      <x:c r="J34" s="28" t="n">
        <x:v>66.8</x:v>
      </x:c>
      <x:c r="K34" s="28" t="n">
        <x:v>310</x:v>
      </x:c>
      <x:c r="L34" s="28" t="n">
        <x:v>0.6</x:v>
      </x:c>
      <x:c r="M34" s="26" t="n">
        <x:f>IF(OR(L34="",J34=""),"",L34/(J34/100))</x:f>
        <x:v>0.8982035928143713</x:v>
      </x:c>
      <x:c r="N34" s="26" t="n">
        <x:v>122.44617707574199</x:v>
      </x:c>
      <x:c r="O34" s="26" t="n">
        <x:v>56.68804494247314</x:v>
      </x:c>
      <x:c r="P34" s="20" t="b">
        <x:v>0</x:v>
      </x:c>
      <x:c r="Q34" s="20" t="b">
        <x:v>1</x:v>
      </x:c>
      <x:c r="R34" s="20" t="b">
        <x:v>0</x:v>
      </x:c>
      <x:c r="S34" s="20" t="b">
        <x:v>1</x:v>
      </x:c>
      <x:c r="T34" s="19" t="str">
        <x:v>active_measured</x:v>
      </x:c>
      <x:c r="U34" s="26" t="n">
        <x:v>0.4</x:v>
      </x:c>
      <x:c r="V34" s="26" t="n">
        <x:v>48.53396214677416</x:v>
      </x:c>
      <x:c r="W34" s="26" t="n">
        <x:v>69.88890549135479</x:v>
      </x:c>
      <x:c r="X34" s="19" t="str">
        <x:v>lowest_active_speed</x:v>
      </x:c>
      <x:c r="Y34" s="19" t="str">
        <x:v>boundary_estimate</x:v>
      </x:c>
      <x:c r="Z34" s="24" t="n">
        <x:v>19</x:v>
      </x:c>
      <x:c r="AA34" s="24" t="n">
        <x:v>20</x:v>
      </x:c>
      <x:c r="AB34" s="19" t="str"/>
    </x:row>
    <x:row r="35" ht="15" hidden="0" customHeight="1">
      <x:c r="A35" s="19" t="str">
        <x:v>Eel 10</x:v>
      </x:c>
      <x:c r="B35" s="19" t="str">
        <x:v>E10FW25</x:v>
      </x:c>
      <x:c r="C35" s="19" t="str">
        <x:v>2012-09</x:v>
      </x:c>
      <x:c r="D35" s="19" t="n">
        <x:v>2012</x:v>
      </x:c>
      <x:c r="E35" s="19" t="str">
        <x:v>Y2</x:v>
      </x:c>
      <x:c r="F35" s="19" t="n">
        <x:v>1</x:v>
      </x:c>
      <x:c r="G35" s="19" t="str">
        <x:v>FW25</x:v>
      </x:c>
      <x:c r="H35" s="19" t="str">
        <x:v>Freshwater</x:v>
      </x:c>
      <x:c r="I35" s="24" t="n">
        <x:v>25</x:v>
      </x:c>
      <x:c r="J35" s="28" t="n">
        <x:v>69.3</x:v>
      </x:c>
      <x:c r="K35" s="28" t="n">
        <x:v>414</x:v>
      </x:c>
      <x:c r="L35" s="28" t="n">
        <x:v>0.1</x:v>
      </x:c>
      <x:c r="M35" s="26" t="n">
        <x:f>IF(OR(L35="",J35=""),"",L35/(J35/100))</x:f>
        <x:v>0.14430014430014432</x:v>
      </x:c>
      <x:c r="N35" s="26" t="n">
        <x:v>44.65361413043471</x:v>
      </x:c>
      <x:c r="O35" s="26" t="n">
        <x:v>124.03781702898529</x:v>
      </x:c>
      <x:c r="P35" s="20" t="b">
        <x:v>1</x:v>
      </x:c>
      <x:c r="Q35" s="20" t="b">
        <x:v>0</x:v>
      </x:c>
      <x:c r="R35" s="20" t="b">
        <x:v>0</x:v>
      </x:c>
      <x:c r="S35" s="20" t="b">
        <x:v>0</x:v>
      </x:c>
      <x:c r="T35" s="19" t="str">
        <x:v>lowflow_0.1_m_s</x:v>
      </x:c>
      <x:c r="U35" s="26" t="n">
        <x:v>0.7</x:v>
      </x:c>
      <x:c r="V35" s="26" t="n">
        <x:v>31.22412008281574</x:v>
      </x:c>
      <x:c r="W35" s="26" t="n">
        <x:v>78.68478260869567</x:v>
      </x:c>
      <x:c r="X35" s="19" t="str">
        <x:v>interior_minimum</x:v>
      </x:c>
      <x:c r="Y35" s="19" t="str">
        <x:v>valid</x:v>
      </x:c>
      <x:c r="Z35" s="24" t="n">
        <x:v>21</x:v>
      </x:c>
      <x:c r="AA35" s="24" t="n">
        <x:v>22</x:v>
      </x:c>
      <x:c r="AB35" s="19" t="str"/>
    </x:row>
    <x:row r="36" ht="15" hidden="0" customHeight="1">
      <x:c r="A36" s="19" t="str">
        <x:v>Eel 10</x:v>
      </x:c>
      <x:c r="B36" s="19" t="str">
        <x:v>E10FW25</x:v>
      </x:c>
      <x:c r="C36" s="19" t="str">
        <x:v>2012-09</x:v>
      </x:c>
      <x:c r="D36" s="19" t="n">
        <x:v>2012</x:v>
      </x:c>
      <x:c r="E36" s="19" t="str">
        <x:v>Y2</x:v>
      </x:c>
      <x:c r="F36" s="19" t="n">
        <x:v>1</x:v>
      </x:c>
      <x:c r="G36" s="19" t="str">
        <x:v>FW25</x:v>
      </x:c>
      <x:c r="H36" s="19" t="str">
        <x:v>Freshwater</x:v>
      </x:c>
      <x:c r="I36" s="24" t="n">
        <x:v>25</x:v>
      </x:c>
      <x:c r="J36" s="28" t="n">
        <x:v>69.3</x:v>
      </x:c>
      <x:c r="K36" s="28" t="n">
        <x:v>414</x:v>
      </x:c>
      <x:c r="L36" s="28" t="n">
        <x:v>0.4</x:v>
      </x:c>
      <x:c r="M36" s="26" t="n">
        <x:f>IF(OR(L36="",J36=""),"",L36/(J36/100))</x:f>
        <x:v>0.5772005772005773</x:v>
      </x:c>
      <x:c r="N36" s="26" t="n">
        <x:v>64.5215217391302</x:v>
      </x:c>
      <x:c r="O36" s="26" t="n">
        <x:v>44.80661231884041</x:v>
      </x:c>
      <x:c r="P36" s="20" t="b">
        <x:v>0</x:v>
      </x:c>
      <x:c r="Q36" s="20" t="b">
        <x:v>1</x:v>
      </x:c>
      <x:c r="R36" s="20" t="b">
        <x:v>0</x:v>
      </x:c>
      <x:c r="S36" s="20" t="b">
        <x:v>1</x:v>
      </x:c>
      <x:c r="T36" s="19" t="str">
        <x:v>active_measured</x:v>
      </x:c>
      <x:c r="U36" s="26" t="n">
        <x:v>0.7</x:v>
      </x:c>
      <x:c r="V36" s="26" t="n">
        <x:v>31.22412008281574</x:v>
      </x:c>
      <x:c r="W36" s="26" t="n">
        <x:v>78.68478260869567</x:v>
      </x:c>
      <x:c r="X36" s="19" t="str">
        <x:v>interior_minimum</x:v>
      </x:c>
      <x:c r="Y36" s="19" t="str">
        <x:v>valid</x:v>
      </x:c>
      <x:c r="Z36" s="24" t="n">
        <x:v>21</x:v>
      </x:c>
      <x:c r="AA36" s="24" t="n">
        <x:v>22</x:v>
      </x:c>
      <x:c r="AB36" s="19" t="str"/>
    </x:row>
    <x:row r="37" ht="15" hidden="0" customHeight="1">
      <x:c r="A37" s="19" t="str">
        <x:v>Eel 10</x:v>
      </x:c>
      <x:c r="B37" s="19" t="str">
        <x:v>E10FW25</x:v>
      </x:c>
      <x:c r="C37" s="19" t="str">
        <x:v>2012-09</x:v>
      </x:c>
      <x:c r="D37" s="19" t="n">
        <x:v>2012</x:v>
      </x:c>
      <x:c r="E37" s="19" t="str">
        <x:v>Y2</x:v>
      </x:c>
      <x:c r="F37" s="19" t="n">
        <x:v>1</x:v>
      </x:c>
      <x:c r="G37" s="19" t="str">
        <x:v>FW25</x:v>
      </x:c>
      <x:c r="H37" s="19" t="str">
        <x:v>Freshwater</x:v>
      </x:c>
      <x:c r="I37" s="24" t="n">
        <x:v>25</x:v>
      </x:c>
      <x:c r="J37" s="28" t="n">
        <x:v>69.3</x:v>
      </x:c>
      <x:c r="K37" s="28" t="n">
        <x:v>414</x:v>
      </x:c>
      <x:c r="L37" s="28" t="n">
        <x:v>0.5</x:v>
      </x:c>
      <x:c r="M37" s="26" t="n">
        <x:f>IF(OR(L37="",J37=""),"",L37/(J37/100))</x:f>
        <x:v>0.7215007215007215</x:v>
      </x:c>
      <x:c r="N37" s="26" t="n">
        <x:v>66.09521739130435</x:v>
      </x:c>
      <x:c r="O37" s="26" t="n">
        <x:v>36.7195652173913</x:v>
      </x:c>
      <x:c r="P37" s="20" t="b">
        <x:v>0</x:v>
      </x:c>
      <x:c r="Q37" s="20" t="b">
        <x:v>1</x:v>
      </x:c>
      <x:c r="R37" s="20" t="b">
        <x:v>0</x:v>
      </x:c>
      <x:c r="S37" s="20" t="b">
        <x:v>1</x:v>
      </x:c>
      <x:c r="T37" s="19" t="str">
        <x:v>active_measured</x:v>
      </x:c>
      <x:c r="U37" s="26" t="n">
        <x:v>0.7</x:v>
      </x:c>
      <x:c r="V37" s="26" t="n">
        <x:v>31.22412008281574</x:v>
      </x:c>
      <x:c r="W37" s="26" t="n">
        <x:v>78.68478260869567</x:v>
      </x:c>
      <x:c r="X37" s="19" t="str">
        <x:v>interior_minimum</x:v>
      </x:c>
      <x:c r="Y37" s="19" t="str">
        <x:v>valid</x:v>
      </x:c>
      <x:c r="Z37" s="24" t="n">
        <x:v>21</x:v>
      </x:c>
      <x:c r="AA37" s="24" t="n">
        <x:v>22</x:v>
      </x:c>
      <x:c r="AB37" s="19" t="str"/>
    </x:row>
    <x:row r="38" ht="15" hidden="0" customHeight="1">
      <x:c r="A38" s="19" t="str">
        <x:v>Eel 10</x:v>
      </x:c>
      <x:c r="B38" s="19" t="str">
        <x:v>E10FW25</x:v>
      </x:c>
      <x:c r="C38" s="19" t="str">
        <x:v>2012-09</x:v>
      </x:c>
      <x:c r="D38" s="19" t="n">
        <x:v>2012</x:v>
      </x:c>
      <x:c r="E38" s="19" t="str">
        <x:v>Y2</x:v>
      </x:c>
      <x:c r="F38" s="19" t="n">
        <x:v>1</x:v>
      </x:c>
      <x:c r="G38" s="19" t="str">
        <x:v>FW25</x:v>
      </x:c>
      <x:c r="H38" s="19" t="str">
        <x:v>Freshwater</x:v>
      </x:c>
      <x:c r="I38" s="24" t="n">
        <x:v>25</x:v>
      </x:c>
      <x:c r="J38" s="28" t="n">
        <x:v>69.3</x:v>
      </x:c>
      <x:c r="K38" s="28" t="n">
        <x:v>414</x:v>
      </x:c>
      <x:c r="L38" s="28" t="n">
        <x:v>0.6</x:v>
      </x:c>
      <x:c r="M38" s="26" t="n">
        <x:f>IF(OR(L38="",J38=""),"",L38/(J38/100))</x:f>
        <x:v>0.8658008658008658</x:v>
      </x:c>
      <x:c r="N38" s="26" t="n">
        <x:v>76.32423913043472</x:v>
      </x:c>
      <x:c r="O38" s="26" t="n">
        <x:v>35.335295893719774</x:v>
      </x:c>
      <x:c r="P38" s="20" t="b">
        <x:v>0</x:v>
      </x:c>
      <x:c r="Q38" s="20" t="b">
        <x:v>1</x:v>
      </x:c>
      <x:c r="R38" s="20" t="b">
        <x:v>0</x:v>
      </x:c>
      <x:c r="S38" s="20" t="b">
        <x:v>1</x:v>
      </x:c>
      <x:c r="T38" s="19" t="str">
        <x:v>active_measured</x:v>
      </x:c>
      <x:c r="U38" s="26" t="n">
        <x:v>0.7</x:v>
      </x:c>
      <x:c r="V38" s="26" t="n">
        <x:v>31.22412008281574</x:v>
      </x:c>
      <x:c r="W38" s="26" t="n">
        <x:v>78.68478260869567</x:v>
      </x:c>
      <x:c r="X38" s="19" t="str">
        <x:v>interior_minimum</x:v>
      </x:c>
      <x:c r="Y38" s="19" t="str">
        <x:v>valid</x:v>
      </x:c>
      <x:c r="Z38" s="24" t="n">
        <x:v>21</x:v>
      </x:c>
      <x:c r="AA38" s="24" t="n">
        <x:v>22</x:v>
      </x:c>
      <x:c r="AB38" s="19" t="str"/>
    </x:row>
    <x:row r="39" ht="15" hidden="0" customHeight="1">
      <x:c r="A39" s="19" t="str">
        <x:v>Eel 10</x:v>
      </x:c>
      <x:c r="B39" s="19" t="str">
        <x:v>E10FW25</x:v>
      </x:c>
      <x:c r="C39" s="19" t="str">
        <x:v>2012-09</x:v>
      </x:c>
      <x:c r="D39" s="19" t="n">
        <x:v>2012</x:v>
      </x:c>
      <x:c r="E39" s="19" t="str">
        <x:v>Y2</x:v>
      </x:c>
      <x:c r="F39" s="19" t="n">
        <x:v>1</x:v>
      </x:c>
      <x:c r="G39" s="19" t="str">
        <x:v>FW25</x:v>
      </x:c>
      <x:c r="H39" s="19" t="str">
        <x:v>Freshwater</x:v>
      </x:c>
      <x:c r="I39" s="24" t="n">
        <x:v>25</x:v>
      </x:c>
      <x:c r="J39" s="28" t="n">
        <x:v>69.3</x:v>
      </x:c>
      <x:c r="K39" s="28" t="n">
        <x:v>414</x:v>
      </x:c>
      <x:c r="L39" s="28" t="n">
        <x:v>0.7</x:v>
      </x:c>
      <x:c r="M39" s="26" t="n">
        <x:f>IF(OR(L39="",J39=""),"",L39/(J39/100))</x:f>
        <x:v>1.0101010101010102</x:v>
      </x:c>
      <x:c r="N39" s="26" t="n">
        <x:v>78.68478260869567</x:v>
      </x:c>
      <x:c r="O39" s="26" t="n">
        <x:v>31.22412008281574</x:v>
      </x:c>
      <x:c r="P39" s="20" t="b">
        <x:v>0</x:v>
      </x:c>
      <x:c r="Q39" s="20" t="b">
        <x:v>1</x:v>
      </x:c>
      <x:c r="R39" s="20" t="b">
        <x:v>1</x:v>
      </x:c>
      <x:c r="S39" s="20" t="b">
        <x:v>1</x:v>
      </x:c>
      <x:c r="T39" s="19" t="str">
        <x:v>uopt_speed</x:v>
      </x:c>
      <x:c r="U39" s="26" t="n">
        <x:v>0.7</x:v>
      </x:c>
      <x:c r="V39" s="26" t="n">
        <x:v>31.22412008281574</x:v>
      </x:c>
      <x:c r="W39" s="26" t="n">
        <x:v>78.68478260869567</x:v>
      </x:c>
      <x:c r="X39" s="19" t="str">
        <x:v>interior_minimum</x:v>
      </x:c>
      <x:c r="Y39" s="19" t="str">
        <x:v>valid</x:v>
      </x:c>
      <x:c r="Z39" s="24" t="n">
        <x:v>21</x:v>
      </x:c>
      <x:c r="AA39" s="24" t="n">
        <x:v>22</x:v>
      </x:c>
      <x:c r="AB39" s="19" t="str">
        <x:v>Uopt/minCOT occurs at an interior observed active speed.</x:v>
      </x:c>
    </x:row>
    <x:row r="40" ht="15" hidden="0" customHeight="1">
      <x:c r="A40" s="19" t="str">
        <x:v>Eel 10</x:v>
      </x:c>
      <x:c r="B40" s="19" t="str">
        <x:v>E10FW25</x:v>
      </x:c>
      <x:c r="C40" s="19" t="str">
        <x:v>2012-09</x:v>
      </x:c>
      <x:c r="D40" s="19" t="n">
        <x:v>2012</x:v>
      </x:c>
      <x:c r="E40" s="19" t="str">
        <x:v>Y2</x:v>
      </x:c>
      <x:c r="F40" s="19" t="n">
        <x:v>1</x:v>
      </x:c>
      <x:c r="G40" s="19" t="str">
        <x:v>FW25</x:v>
      </x:c>
      <x:c r="H40" s="19" t="str">
        <x:v>Freshwater</x:v>
      </x:c>
      <x:c r="I40" s="24" t="n">
        <x:v>25</x:v>
      </x:c>
      <x:c r="J40" s="28" t="n">
        <x:v>69.3</x:v>
      </x:c>
      <x:c r="K40" s="28" t="n">
        <x:v>414</x:v>
      </x:c>
      <x:c r="L40" s="28" t="n">
        <x:v>0.8</x:v>
      </x:c>
      <x:c r="M40" s="26" t="n">
        <x:f>IF(OR(L40="",J40=""),"",L40/(J40/100))</x:f>
        <x:v>1.1544011544011545</x:v>
      </x:c>
      <x:c r="N40" s="26" t="n">
        <x:v>91.04953416149063</x:v>
      </x:c>
      <x:c r="O40" s="26" t="n">
        <x:v>31.61442158385091</x:v>
      </x:c>
      <x:c r="P40" s="20" t="b">
        <x:v>0</x:v>
      </x:c>
      <x:c r="Q40" s="20" t="b">
        <x:v>1</x:v>
      </x:c>
      <x:c r="R40" s="20" t="b">
        <x:v>0</x:v>
      </x:c>
      <x:c r="S40" s="20" t="b">
        <x:v>1</x:v>
      </x:c>
      <x:c r="T40" s="19" t="str">
        <x:v>active_measured</x:v>
      </x:c>
      <x:c r="U40" s="26" t="n">
        <x:v>0.7</x:v>
      </x:c>
      <x:c r="V40" s="26" t="n">
        <x:v>31.22412008281574</x:v>
      </x:c>
      <x:c r="W40" s="26" t="n">
        <x:v>78.68478260869567</x:v>
      </x:c>
      <x:c r="X40" s="19" t="str">
        <x:v>interior_minimum</x:v>
      </x:c>
      <x:c r="Y40" s="19" t="str">
        <x:v>valid</x:v>
      </x:c>
      <x:c r="Z40" s="24" t="n">
        <x:v>21</x:v>
      </x:c>
      <x:c r="AA40" s="24" t="n">
        <x:v>22</x:v>
      </x:c>
      <x:c r="AB40" s="19" t="str"/>
    </x:row>
    <x:row r="41" ht="15" hidden="0" customHeight="1">
      <x:c r="A41" s="19" t="str">
        <x:v>Eel 10</x:v>
      </x:c>
      <x:c r="B41" s="19" t="str">
        <x:v>E10FW25</x:v>
      </x:c>
      <x:c r="C41" s="19" t="str">
        <x:v>2012-09</x:v>
      </x:c>
      <x:c r="D41" s="19" t="n">
        <x:v>2012</x:v>
      </x:c>
      <x:c r="E41" s="19" t="str">
        <x:v>Y2</x:v>
      </x:c>
      <x:c r="F41" s="19" t="n">
        <x:v>1</x:v>
      </x:c>
      <x:c r="G41" s="19" t="str">
        <x:v>FW25</x:v>
      </x:c>
      <x:c r="H41" s="19" t="str">
        <x:v>Freshwater</x:v>
      </x:c>
      <x:c r="I41" s="24" t="n">
        <x:v>25</x:v>
      </x:c>
      <x:c r="J41" s="28" t="n">
        <x:v>69.3</x:v>
      </x:c>
      <x:c r="K41" s="28" t="n">
        <x:v>414</x:v>
      </x:c>
      <x:c r="L41" s="28" t="n">
        <x:v>0.9</x:v>
      </x:c>
      <x:c r="M41" s="26" t="n">
        <x:f>IF(OR(L41="",J41=""),"",L41/(J41/100))</x:f>
        <x:v>1.298701298701299</x:v>
      </x:c>
      <x:c r="N41" s="26" t="n">
        <x:v>117.04361413043486</x:v>
      </x:c>
      <x:c r="O41" s="26" t="n">
        <x:v>36.124572262479894</x:v>
      </x:c>
      <x:c r="P41" s="20" t="b">
        <x:v>0</x:v>
      </x:c>
      <x:c r="Q41" s="20" t="b">
        <x:v>1</x:v>
      </x:c>
      <x:c r="R41" s="20" t="b">
        <x:v>0</x:v>
      </x:c>
      <x:c r="S41" s="20" t="b">
        <x:v>1</x:v>
      </x:c>
      <x:c r="T41" s="19" t="str">
        <x:v>active_measured</x:v>
      </x:c>
      <x:c r="U41" s="26" t="n">
        <x:v>0.7</x:v>
      </x:c>
      <x:c r="V41" s="26" t="n">
        <x:v>31.22412008281574</x:v>
      </x:c>
      <x:c r="W41" s="26" t="n">
        <x:v>78.68478260869567</x:v>
      </x:c>
      <x:c r="X41" s="19" t="str">
        <x:v>interior_minimum</x:v>
      </x:c>
      <x:c r="Y41" s="19" t="str">
        <x:v>valid</x:v>
      </x:c>
      <x:c r="Z41" s="24" t="n">
        <x:v>21</x:v>
      </x:c>
      <x:c r="AA41" s="24" t="n">
        <x:v>22</x:v>
      </x:c>
      <x:c r="AB41" s="19" t="str"/>
    </x:row>
    <x:row r="42" ht="15" hidden="0" customHeight="1">
      <x:c r="A42" s="19" t="str">
        <x:v>Eel 10</x:v>
      </x:c>
      <x:c r="B42" s="19" t="str">
        <x:v>E10FW25</x:v>
      </x:c>
      <x:c r="C42" s="19" t="str">
        <x:v>2012-09</x:v>
      </x:c>
      <x:c r="D42" s="19" t="n">
        <x:v>2012</x:v>
      </x:c>
      <x:c r="E42" s="19" t="str">
        <x:v>Y2</x:v>
      </x:c>
      <x:c r="F42" s="19" t="n">
        <x:v>1</x:v>
      </x:c>
      <x:c r="G42" s="19" t="str">
        <x:v>FW25</x:v>
      </x:c>
      <x:c r="H42" s="19" t="str">
        <x:v>Freshwater</x:v>
      </x:c>
      <x:c r="I42" s="24" t="n">
        <x:v>25</x:v>
      </x:c>
      <x:c r="J42" s="28" t="n">
        <x:v>69.3</x:v>
      </x:c>
      <x:c r="K42" s="28" t="n">
        <x:v>414</x:v>
      </x:c>
      <x:c r="L42" s="28" t="n">
        <x:v>1</x:v>
      </x:c>
      <x:c r="M42" s="26" t="n">
        <x:f>IF(OR(L42="",J42=""),"",L42/(J42/100))</x:f>
        <x:v>1.443001443001443</x:v>
      </x:c>
      <x:c r="N42" s="26" t="n">
        <x:v>127.469347826087</x:v>
      </x:c>
      <x:c r="O42" s="26" t="n">
        <x:v>35.40815217391305</x:v>
      </x:c>
      <x:c r="P42" s="20" t="b">
        <x:v>0</x:v>
      </x:c>
      <x:c r="Q42" s="20" t="b">
        <x:v>1</x:v>
      </x:c>
      <x:c r="R42" s="20" t="b">
        <x:v>0</x:v>
      </x:c>
      <x:c r="S42" s="20" t="b">
        <x:v>1</x:v>
      </x:c>
      <x:c r="T42" s="19" t="str">
        <x:v>active_measured</x:v>
      </x:c>
      <x:c r="U42" s="26" t="n">
        <x:v>0.7</x:v>
      </x:c>
      <x:c r="V42" s="26" t="n">
        <x:v>31.22412008281574</x:v>
      </x:c>
      <x:c r="W42" s="26" t="n">
        <x:v>78.68478260869567</x:v>
      </x:c>
      <x:c r="X42" s="19" t="str">
        <x:v>interior_minimum</x:v>
      </x:c>
      <x:c r="Y42" s="19" t="str">
        <x:v>valid</x:v>
      </x:c>
      <x:c r="Z42" s="24" t="n">
        <x:v>21</x:v>
      </x:c>
      <x:c r="AA42" s="24" t="n">
        <x:v>22</x:v>
      </x:c>
      <x:c r="AB42" s="19" t="str"/>
    </x:row>
    <x:row r="43" ht="15" hidden="0" customHeight="1">
      <x:c r="A43" s="19" t="str">
        <x:v>Eel 1</x:v>
      </x:c>
      <x:c r="B43" s="19" t="str">
        <x:v>E01FW18</x:v>
      </x:c>
      <x:c r="C43" s="19" t="str">
        <x:v>2012-10</x:v>
      </x:c>
      <x:c r="D43" s="19" t="n">
        <x:v>2012</x:v>
      </x:c>
      <x:c r="E43" s="19" t="str">
        <x:v>Y1</x:v>
      </x:c>
      <x:c r="F43" s="19" t="n">
        <x:v>2</x:v>
      </x:c>
      <x:c r="G43" s="19" t="str">
        <x:v>FW18</x:v>
      </x:c>
      <x:c r="H43" s="19" t="str">
        <x:v>Freshwater</x:v>
      </x:c>
      <x:c r="I43" s="24" t="n">
        <x:v>18</x:v>
      </x:c>
      <x:c r="J43" s="28" t="n">
        <x:v>53.4</x:v>
      </x:c>
      <x:c r="K43" s="28" t="n">
        <x:v>198</x:v>
      </x:c>
      <x:c r="L43" s="28" t="n">
        <x:v>0.1</x:v>
      </x:c>
      <x:c r="M43" s="26" t="n">
        <x:f>IF(OR(L43="",J43=""),"",L43/(J43/100))</x:f>
        <x:v>0.18726591760299627</x:v>
      </x:c>
      <x:c r="N43" s="26" t="n">
        <x:v>35.35133507454619</x:v>
      </x:c>
      <x:c r="O43" s="26" t="n">
        <x:v>98.19815298485052</x:v>
      </x:c>
      <x:c r="P43" s="20" t="b">
        <x:v>1</x:v>
      </x:c>
      <x:c r="Q43" s="20" t="b">
        <x:v>0</x:v>
      </x:c>
      <x:c r="R43" s="20" t="b">
        <x:v>0</x:v>
      </x:c>
      <x:c r="S43" s="20" t="b">
        <x:v>0</x:v>
      </x:c>
      <x:c r="T43" s="19" t="str">
        <x:v>lowflow_0.1_m_s</x:v>
      </x:c>
      <x:c r="U43" s="26"/>
      <x:c r="V43" s="26"/>
      <x:c r="W43" s="26"/>
      <x:c r="X43" s="19" t="str">
        <x:v>not_estimable</x:v>
      </x:c>
      <x:c r="Y43" s="19" t="str">
        <x:v>not_estimable</x:v>
      </x:c>
      <x:c r="Z43" s="24" t="n">
        <x:v>2</x:v>
      </x:c>
      <x:c r="AA43" s="24" t="n">
        <x:v>3</x:v>
      </x:c>
      <x:c r="AB43" s="19" t="str"/>
    </x:row>
    <x:row r="44" ht="15" hidden="0" customHeight="1">
      <x:c r="A44" s="19" t="str">
        <x:v>Eel 2</x:v>
      </x:c>
      <x:c r="B44" s="19" t="str">
        <x:v>E02FW18</x:v>
      </x:c>
      <x:c r="C44" s="19" t="str">
        <x:v>2012-10</x:v>
      </x:c>
      <x:c r="D44" s="19" t="n">
        <x:v>2012</x:v>
      </x:c>
      <x:c r="E44" s="19" t="str">
        <x:v>Y1</x:v>
      </x:c>
      <x:c r="F44" s="19" t="n">
        <x:v>2</x:v>
      </x:c>
      <x:c r="G44" s="19" t="str">
        <x:v>FW18</x:v>
      </x:c>
      <x:c r="H44" s="19" t="str">
        <x:v>Freshwater</x:v>
      </x:c>
      <x:c r="I44" s="24" t="n">
        <x:v>18</x:v>
      </x:c>
      <x:c r="J44" s="28" t="n">
        <x:v>58.9</x:v>
      </x:c>
      <x:c r="K44" s="28" t="n">
        <x:v>300</x:v>
      </x:c>
      <x:c r="L44" s="28" t="n">
        <x:v>0.1</x:v>
      </x:c>
      <x:c r="M44" s="26" t="n">
        <x:f>IF(OR(L44="",J44=""),"",L44/(J44/100))</x:f>
        <x:v>0.16977928692699493</x:v>
      </x:c>
      <x:c r="N44" s="26" t="n">
        <x:v>96.9445468426231</x:v>
      </x:c>
      <x:c r="O44" s="26" t="n">
        <x:v>269.2904078961752</x:v>
      </x:c>
      <x:c r="P44" s="20" t="b">
        <x:v>1</x:v>
      </x:c>
      <x:c r="Q44" s="20" t="b">
        <x:v>0</x:v>
      </x:c>
      <x:c r="R44" s="20" t="b">
        <x:v>0</x:v>
      </x:c>
      <x:c r="S44" s="20" t="b">
        <x:v>0</x:v>
      </x:c>
      <x:c r="T44" s="19" t="str">
        <x:v>lowflow_0.1_m_s</x:v>
      </x:c>
      <x:c r="U44" s="26" t="n">
        <x:v>0.5</x:v>
      </x:c>
      <x:c r="V44" s="26" t="n">
        <x:v>25.399743640436938</x:v>
      </x:c>
      <x:c r="W44" s="26" t="n">
        <x:v>45.71953855278649</x:v>
      </x:c>
      <x:c r="X44" s="19" t="str">
        <x:v>interior_minimum</x:v>
      </x:c>
      <x:c r="Y44" s="19" t="str">
        <x:v>valid</x:v>
      </x:c>
      <x:c r="Z44" s="24" t="n">
        <x:v>3</x:v>
      </x:c>
      <x:c r="AA44" s="24" t="n">
        <x:v>4</x:v>
      </x:c>
      <x:c r="AB44" s="19" t="str"/>
    </x:row>
    <x:row r="45" ht="15" hidden="0" customHeight="1">
      <x:c r="A45" s="19" t="str">
        <x:v>Eel 2</x:v>
      </x:c>
      <x:c r="B45" s="19" t="str">
        <x:v>E02FW18</x:v>
      </x:c>
      <x:c r="C45" s="19" t="str">
        <x:v>2012-10</x:v>
      </x:c>
      <x:c r="D45" s="19" t="n">
        <x:v>2012</x:v>
      </x:c>
      <x:c r="E45" s="19" t="str">
        <x:v>Y1</x:v>
      </x:c>
      <x:c r="F45" s="19" t="n">
        <x:v>2</x:v>
      </x:c>
      <x:c r="G45" s="19" t="str">
        <x:v>FW18</x:v>
      </x:c>
      <x:c r="H45" s="19" t="str">
        <x:v>Freshwater</x:v>
      </x:c>
      <x:c r="I45" s="24" t="n">
        <x:v>18</x:v>
      </x:c>
      <x:c r="J45" s="28" t="n">
        <x:v>58.9</x:v>
      </x:c>
      <x:c r="K45" s="28" t="n">
        <x:v>300</x:v>
      </x:c>
      <x:c r="L45" s="28" t="n">
        <x:v>0.4</x:v>
      </x:c>
      <x:c r="M45" s="26" t="n">
        <x:f>IF(OR(L45="",J45=""),"",L45/(J45/100))</x:f>
        <x:v>0.6791171477079797</x:v>
      </x:c>
      <x:c r="N45" s="26" t="n">
        <x:v>70.01549957114786</x:v>
      </x:c>
      <x:c r="O45" s="26" t="n">
        <x:v>48.621874702186005</x:v>
      </x:c>
      <x:c r="P45" s="20" t="b">
        <x:v>0</x:v>
      </x:c>
      <x:c r="Q45" s="20" t="b">
        <x:v>1</x:v>
      </x:c>
      <x:c r="R45" s="20" t="b">
        <x:v>0</x:v>
      </x:c>
      <x:c r="S45" s="20" t="b">
        <x:v>1</x:v>
      </x:c>
      <x:c r="T45" s="19" t="str">
        <x:v>active_measured</x:v>
      </x:c>
      <x:c r="U45" s="26" t="n">
        <x:v>0.5</x:v>
      </x:c>
      <x:c r="V45" s="26" t="n">
        <x:v>25.399743640436938</x:v>
      </x:c>
      <x:c r="W45" s="26" t="n">
        <x:v>45.71953855278649</x:v>
      </x:c>
      <x:c r="X45" s="19" t="str">
        <x:v>interior_minimum</x:v>
      </x:c>
      <x:c r="Y45" s="19" t="str">
        <x:v>valid</x:v>
      </x:c>
      <x:c r="Z45" s="24" t="n">
        <x:v>3</x:v>
      </x:c>
      <x:c r="AA45" s="24" t="n">
        <x:v>4</x:v>
      </x:c>
      <x:c r="AB45" s="19" t="str"/>
    </x:row>
    <x:row r="46" ht="15" hidden="0" customHeight="1">
      <x:c r="A46" s="19" t="str">
        <x:v>Eel 2</x:v>
      </x:c>
      <x:c r="B46" s="19" t="str">
        <x:v>E02FW18</x:v>
      </x:c>
      <x:c r="C46" s="19" t="str">
        <x:v>2012-10</x:v>
      </x:c>
      <x:c r="D46" s="19" t="n">
        <x:v>2012</x:v>
      </x:c>
      <x:c r="E46" s="19" t="str">
        <x:v>Y1</x:v>
      </x:c>
      <x:c r="F46" s="19" t="n">
        <x:v>2</x:v>
      </x:c>
      <x:c r="G46" s="19" t="str">
        <x:v>FW18</x:v>
      </x:c>
      <x:c r="H46" s="19" t="str">
        <x:v>Freshwater</x:v>
      </x:c>
      <x:c r="I46" s="24" t="n">
        <x:v>18</x:v>
      </x:c>
      <x:c r="J46" s="28" t="n">
        <x:v>58.9</x:v>
      </x:c>
      <x:c r="K46" s="28" t="n">
        <x:v>300</x:v>
      </x:c>
      <x:c r="L46" s="28" t="n">
        <x:v>0.5</x:v>
      </x:c>
      <x:c r="M46" s="26" t="n">
        <x:f>IF(OR(L46="",J46=""),"",L46/(J46/100))</x:f>
        <x:v>0.8488964346349746</x:v>
      </x:c>
      <x:c r="N46" s="26" t="n">
        <x:v>45.71953855278649</x:v>
      </x:c>
      <x:c r="O46" s="26" t="n">
        <x:v>25.399743640436938</x:v>
      </x:c>
      <x:c r="P46" s="20" t="b">
        <x:v>0</x:v>
      </x:c>
      <x:c r="Q46" s="20" t="b">
        <x:v>1</x:v>
      </x:c>
      <x:c r="R46" s="20" t="b">
        <x:v>1</x:v>
      </x:c>
      <x:c r="S46" s="20" t="b">
        <x:v>1</x:v>
      </x:c>
      <x:c r="T46" s="19" t="str">
        <x:v>uopt_speed</x:v>
      </x:c>
      <x:c r="U46" s="26" t="n">
        <x:v>0.5</x:v>
      </x:c>
      <x:c r="V46" s="26" t="n">
        <x:v>25.399743640436938</x:v>
      </x:c>
      <x:c r="W46" s="26" t="n">
        <x:v>45.71953855278649</x:v>
      </x:c>
      <x:c r="X46" s="19" t="str">
        <x:v>interior_minimum</x:v>
      </x:c>
      <x:c r="Y46" s="19" t="str">
        <x:v>valid</x:v>
      </x:c>
      <x:c r="Z46" s="24" t="n">
        <x:v>3</x:v>
      </x:c>
      <x:c r="AA46" s="24" t="n">
        <x:v>4</x:v>
      </x:c>
      <x:c r="AB46" s="19" t="str">
        <x:v>Uopt/minCOT occurs at an interior observed active speed.</x:v>
      </x:c>
    </x:row>
    <x:row r="47" ht="15" hidden="0" customHeight="1">
      <x:c r="A47" s="19" t="str">
        <x:v>Eel 2</x:v>
      </x:c>
      <x:c r="B47" s="19" t="str">
        <x:v>E02FW18</x:v>
      </x:c>
      <x:c r="C47" s="19" t="str">
        <x:v>2012-10</x:v>
      </x:c>
      <x:c r="D47" s="19" t="n">
        <x:v>2012</x:v>
      </x:c>
      <x:c r="E47" s="19" t="str">
        <x:v>Y1</x:v>
      </x:c>
      <x:c r="F47" s="19" t="n">
        <x:v>2</x:v>
      </x:c>
      <x:c r="G47" s="19" t="str">
        <x:v>FW18</x:v>
      </x:c>
      <x:c r="H47" s="19" t="str">
        <x:v>Freshwater</x:v>
      </x:c>
      <x:c r="I47" s="24" t="n">
        <x:v>18</x:v>
      </x:c>
      <x:c r="J47" s="28" t="n">
        <x:v>58.9</x:v>
      </x:c>
      <x:c r="K47" s="28" t="n">
        <x:v>300</x:v>
      </x:c>
      <x:c r="L47" s="28" t="n">
        <x:v>0.6</x:v>
      </x:c>
      <x:c r="M47" s="26" t="n">
        <x:f>IF(OR(L47="",J47=""),"",L47/(J47/100))</x:f>
        <x:v>1.0186757215619695</x:v>
      </x:c>
      <x:c r="N47" s="26" t="n">
        <x:v>91.11985856655676</x:v>
      </x:c>
      <x:c r="O47" s="26" t="n">
        <x:v>42.185119706739236</x:v>
      </x:c>
      <x:c r="P47" s="20" t="b">
        <x:v>0</x:v>
      </x:c>
      <x:c r="Q47" s="20" t="b">
        <x:v>1</x:v>
      </x:c>
      <x:c r="R47" s="20" t="b">
        <x:v>0</x:v>
      </x:c>
      <x:c r="S47" s="20" t="b">
        <x:v>1</x:v>
      </x:c>
      <x:c r="T47" s="19" t="str">
        <x:v>active_measured</x:v>
      </x:c>
      <x:c r="U47" s="26" t="n">
        <x:v>0.5</x:v>
      </x:c>
      <x:c r="V47" s="26" t="n">
        <x:v>25.399743640436938</x:v>
      </x:c>
      <x:c r="W47" s="26" t="n">
        <x:v>45.71953855278649</x:v>
      </x:c>
      <x:c r="X47" s="19" t="str">
        <x:v>interior_minimum</x:v>
      </x:c>
      <x:c r="Y47" s="19" t="str">
        <x:v>valid</x:v>
      </x:c>
      <x:c r="Z47" s="24" t="n">
        <x:v>3</x:v>
      </x:c>
      <x:c r="AA47" s="24" t="n">
        <x:v>4</x:v>
      </x:c>
      <x:c r="AB47" s="19" t="str"/>
    </x:row>
    <x:row r="48" ht="15" hidden="0" customHeight="1">
      <x:c r="A48" s="19" t="str">
        <x:v>Eel 2</x:v>
      </x:c>
      <x:c r="B48" s="19" t="str">
        <x:v>E02FW18</x:v>
      </x:c>
      <x:c r="C48" s="19" t="str">
        <x:v>2012-10</x:v>
      </x:c>
      <x:c r="D48" s="19" t="n">
        <x:v>2012</x:v>
      </x:c>
      <x:c r="E48" s="19" t="str">
        <x:v>Y1</x:v>
      </x:c>
      <x:c r="F48" s="19" t="n">
        <x:v>2</x:v>
      </x:c>
      <x:c r="G48" s="19" t="str">
        <x:v>FW18</x:v>
      </x:c>
      <x:c r="H48" s="19" t="str">
        <x:v>Freshwater</x:v>
      </x:c>
      <x:c r="I48" s="24" t="n">
        <x:v>18</x:v>
      </x:c>
      <x:c r="J48" s="28" t="n">
        <x:v>58.9</x:v>
      </x:c>
      <x:c r="K48" s="28" t="n">
        <x:v>300</x:v>
      </x:c>
      <x:c r="L48" s="28" t="n">
        <x:v>0.7</x:v>
      </x:c>
      <x:c r="M48" s="26" t="n">
        <x:f>IF(OR(L48="",J48=""),"",L48/(J48/100))</x:f>
        <x:v>1.1884550084889642</x:v>
      </x:c>
      <x:c r="N48" s="26" t="n">
        <x:v>66.86383875672136</x:v>
      </x:c>
      <x:c r="O48" s="26" t="n">
        <x:v>26.533269347905303</x:v>
      </x:c>
      <x:c r="P48" s="20" t="b">
        <x:v>0</x:v>
      </x:c>
      <x:c r="Q48" s="20" t="b">
        <x:v>1</x:v>
      </x:c>
      <x:c r="R48" s="20" t="b">
        <x:v>0</x:v>
      </x:c>
      <x:c r="S48" s="20" t="b">
        <x:v>1</x:v>
      </x:c>
      <x:c r="T48" s="19" t="str">
        <x:v>active_measured</x:v>
      </x:c>
      <x:c r="U48" s="26" t="n">
        <x:v>0.5</x:v>
      </x:c>
      <x:c r="V48" s="26" t="n">
        <x:v>25.399743640436938</x:v>
      </x:c>
      <x:c r="W48" s="26" t="n">
        <x:v>45.71953855278649</x:v>
      </x:c>
      <x:c r="X48" s="19" t="str">
        <x:v>interior_minimum</x:v>
      </x:c>
      <x:c r="Y48" s="19" t="str">
        <x:v>valid</x:v>
      </x:c>
      <x:c r="Z48" s="24" t="n">
        <x:v>3</x:v>
      </x:c>
      <x:c r="AA48" s="24" t="n">
        <x:v>4</x:v>
      </x:c>
      <x:c r="AB48" s="19" t="str"/>
    </x:row>
    <x:row r="49" ht="15" hidden="0" customHeight="1">
      <x:c r="A49" s="19" t="str">
        <x:v>Eel 3</x:v>
      </x:c>
      <x:c r="B49" s="19" t="str">
        <x:v>E03FW18</x:v>
      </x:c>
      <x:c r="C49" s="19" t="str">
        <x:v>2012-10</x:v>
      </x:c>
      <x:c r="D49" s="19" t="n">
        <x:v>2012</x:v>
      </x:c>
      <x:c r="E49" s="19" t="str">
        <x:v>Y1</x:v>
      </x:c>
      <x:c r="F49" s="19" t="n">
        <x:v>2</x:v>
      </x:c>
      <x:c r="G49" s="19" t="str">
        <x:v>FW18</x:v>
      </x:c>
      <x:c r="H49" s="19" t="str">
        <x:v>Freshwater</x:v>
      </x:c>
      <x:c r="I49" s="24" t="n">
        <x:v>18</x:v>
      </x:c>
      <x:c r="J49" s="28" t="n">
        <x:v>53.5</x:v>
      </x:c>
      <x:c r="K49" s="28" t="n">
        <x:v>183</x:v>
      </x:c>
      <x:c r="L49" s="28" t="n">
        <x:v>0.1</x:v>
      </x:c>
      <x:c r="M49" s="26" t="n">
        <x:f>IF(OR(L49="",J49=""),"",L49/(J49/100))</x:f>
        <x:v>0.18691588785046728</x:v>
      </x:c>
      <x:c r="N49" s="26" t="n">
        <x:v>30.85</x:v>
      </x:c>
      <x:c r="O49" s="26" t="n">
        <x:v>85.69444444444444</x:v>
      </x:c>
      <x:c r="P49" s="20" t="b">
        <x:v>1</x:v>
      </x:c>
      <x:c r="Q49" s="20" t="b">
        <x:v>0</x:v>
      </x:c>
      <x:c r="R49" s="20" t="b">
        <x:v>0</x:v>
      </x:c>
      <x:c r="S49" s="20" t="b">
        <x:v>0</x:v>
      </x:c>
      <x:c r="T49" s="19" t="str">
        <x:v>lowflow_0.1_m_s</x:v>
      </x:c>
      <x:c r="U49" s="26"/>
      <x:c r="V49" s="26"/>
      <x:c r="W49" s="26"/>
      <x:c r="X49" s="19" t="str">
        <x:v>not_estimable</x:v>
      </x:c>
      <x:c r="Y49" s="19" t="str">
        <x:v>not_estimable</x:v>
      </x:c>
      <x:c r="Z49" s="24" t="n">
        <x:v>4</x:v>
      </x:c>
      <x:c r="AA49" s="24" t="n">
        <x:v>5</x:v>
      </x:c>
      <x:c r="AB49" s="19" t="str"/>
    </x:row>
    <x:row r="50" ht="15" hidden="0" customHeight="1">
      <x:c r="A50" s="19" t="str">
        <x:v>Eel 4</x:v>
      </x:c>
      <x:c r="B50" s="19" t="str">
        <x:v>E04FW18</x:v>
      </x:c>
      <x:c r="C50" s="19" t="str">
        <x:v>2012-09</x:v>
      </x:c>
      <x:c r="D50" s="19" t="n">
        <x:v>2012</x:v>
      </x:c>
      <x:c r="E50" s="19" t="str">
        <x:v>Y1</x:v>
      </x:c>
      <x:c r="F50" s="19" t="n">
        <x:v>2</x:v>
      </x:c>
      <x:c r="G50" s="19" t="str">
        <x:v>FW18</x:v>
      </x:c>
      <x:c r="H50" s="19" t="str">
        <x:v>Freshwater</x:v>
      </x:c>
      <x:c r="I50" s="24" t="n">
        <x:v>18</x:v>
      </x:c>
      <x:c r="J50" s="28" t="n">
        <x:v>56.3</x:v>
      </x:c>
      <x:c r="K50" s="28" t="n">
        <x:v>211</x:v>
      </x:c>
      <x:c r="L50" s="28" t="n">
        <x:v>0.1</x:v>
      </x:c>
      <x:c r="M50" s="26" t="n">
        <x:f>IF(OR(L50="",J50=""),"",L50/(J50/100))</x:f>
        <x:v>0.17761989342806397</x:v>
      </x:c>
      <x:c r="N50" s="26" t="n">
        <x:v>39.12518598824654</x:v>
      </x:c>
      <x:c r="O50" s="26" t="n">
        <x:v>108.68107218957371</x:v>
      </x:c>
      <x:c r="P50" s="20" t="b">
        <x:v>1</x:v>
      </x:c>
      <x:c r="Q50" s="20" t="b">
        <x:v>0</x:v>
      </x:c>
      <x:c r="R50" s="20" t="b">
        <x:v>0</x:v>
      </x:c>
      <x:c r="S50" s="20" t="b">
        <x:v>0</x:v>
      </x:c>
      <x:c r="T50" s="19" t="str">
        <x:v>lowflow_0.1_m_s</x:v>
      </x:c>
      <x:c r="U50" s="26"/>
      <x:c r="V50" s="26"/>
      <x:c r="W50" s="26"/>
      <x:c r="X50" s="19" t="str">
        <x:v>not_estimable</x:v>
      </x:c>
      <x:c r="Y50" s="19" t="str">
        <x:v>not_estimable</x:v>
      </x:c>
      <x:c r="Z50" s="24" t="n">
        <x:v>5</x:v>
      </x:c>
      <x:c r="AA50" s="24" t="n">
        <x:v>6</x:v>
      </x:c>
      <x:c r="AB50" s="19" t="str"/>
    </x:row>
    <x:row r="51" ht="15" hidden="0" customHeight="1">
      <x:c r="A51" s="19" t="str">
        <x:v>Eel 5</x:v>
      </x:c>
      <x:c r="B51" s="19" t="str">
        <x:v>E05FW18</x:v>
      </x:c>
      <x:c r="C51" s="19" t="str">
        <x:v>2012-09</x:v>
      </x:c>
      <x:c r="D51" s="19" t="n">
        <x:v>2012</x:v>
      </x:c>
      <x:c r="E51" s="19" t="str">
        <x:v>Y1</x:v>
      </x:c>
      <x:c r="F51" s="19" t="n">
        <x:v>2</x:v>
      </x:c>
      <x:c r="G51" s="19" t="str">
        <x:v>FW18</x:v>
      </x:c>
      <x:c r="H51" s="19" t="str">
        <x:v>Freshwater</x:v>
      </x:c>
      <x:c r="I51" s="24" t="n">
        <x:v>18</x:v>
      </x:c>
      <x:c r="J51" s="28" t="n">
        <x:v>56.8</x:v>
      </x:c>
      <x:c r="K51" s="28" t="n">
        <x:v>204</x:v>
      </x:c>
      <x:c r="L51" s="28" t="n">
        <x:v>0.1</x:v>
      </x:c>
      <x:c r="M51" s="26" t="n">
        <x:f>IF(OR(L51="",J51=""),"",L51/(J51/100))</x:f>
        <x:v>0.17605633802816903</x:v>
      </x:c>
      <x:c r="N51" s="26" t="n">
        <x:v>50.83442420911798</x:v>
      </x:c>
      <x:c r="O51" s="26" t="n">
        <x:v>141.20673391421658</x:v>
      </x:c>
      <x:c r="P51" s="20" t="b">
        <x:v>1</x:v>
      </x:c>
      <x:c r="Q51" s="20" t="b">
        <x:v>0</x:v>
      </x:c>
      <x:c r="R51" s="20" t="b">
        <x:v>0</x:v>
      </x:c>
      <x:c r="S51" s="20" t="b">
        <x:v>0</x:v>
      </x:c>
      <x:c r="T51" s="19" t="str">
        <x:v>lowflow_0.1_m_s</x:v>
      </x:c>
      <x:c r="U51" s="26" t="n">
        <x:v>0.8</x:v>
      </x:c>
      <x:c r="V51" s="26" t="n">
        <x:v>14.553563677083371</x:v>
      </x:c>
      <x:c r="W51" s="26" t="n">
        <x:v>41.914263390000116</x:v>
      </x:c>
      <x:c r="X51" s="19" t="str">
        <x:v>interior_minimum</x:v>
      </x:c>
      <x:c r="Y51" s="19" t="str">
        <x:v>valid</x:v>
      </x:c>
      <x:c r="Z51" s="24" t="n">
        <x:v>6</x:v>
      </x:c>
      <x:c r="AA51" s="24" t="n">
        <x:v>7</x:v>
      </x:c>
      <x:c r="AB51" s="19" t="str"/>
    </x:row>
    <x:row r="52" ht="15" hidden="0" customHeight="1">
      <x:c r="A52" s="19" t="str">
        <x:v>Eel 5</x:v>
      </x:c>
      <x:c r="B52" s="19" t="str">
        <x:v>E05FW18</x:v>
      </x:c>
      <x:c r="C52" s="19" t="str">
        <x:v>2012-09</x:v>
      </x:c>
      <x:c r="D52" s="19" t="n">
        <x:v>2012</x:v>
      </x:c>
      <x:c r="E52" s="19" t="str">
        <x:v>Y1</x:v>
      </x:c>
      <x:c r="F52" s="19" t="n">
        <x:v>2</x:v>
      </x:c>
      <x:c r="G52" s="19" t="str">
        <x:v>FW18</x:v>
      </x:c>
      <x:c r="H52" s="19" t="str">
        <x:v>Freshwater</x:v>
      </x:c>
      <x:c r="I52" s="24" t="n">
        <x:v>18</x:v>
      </x:c>
      <x:c r="J52" s="28" t="n">
        <x:v>56.8</x:v>
      </x:c>
      <x:c r="K52" s="28" t="n">
        <x:v>204</x:v>
      </x:c>
      <x:c r="L52" s="28" t="n">
        <x:v>0.4</x:v>
      </x:c>
      <x:c r="M52" s="26" t="n">
        <x:f>IF(OR(L52="",J52=""),"",L52/(J52/100))</x:f>
        <x:v>0.7042253521126761</x:v>
      </x:c>
      <x:c r="N52" s="26" t="n">
        <x:v>83.72098560794073</x:v>
      </x:c>
      <x:c r="O52" s="26" t="n">
        <x:v>58.139573338847725</x:v>
      </x:c>
      <x:c r="P52" s="20" t="b">
        <x:v>0</x:v>
      </x:c>
      <x:c r="Q52" s="20" t="b">
        <x:v>1</x:v>
      </x:c>
      <x:c r="R52" s="20" t="b">
        <x:v>0</x:v>
      </x:c>
      <x:c r="S52" s="20" t="b">
        <x:v>1</x:v>
      </x:c>
      <x:c r="T52" s="19" t="str">
        <x:v>active_measured</x:v>
      </x:c>
      <x:c r="U52" s="26" t="n">
        <x:v>0.8</x:v>
      </x:c>
      <x:c r="V52" s="26" t="n">
        <x:v>14.553563677083371</x:v>
      </x:c>
      <x:c r="W52" s="26" t="n">
        <x:v>41.914263390000116</x:v>
      </x:c>
      <x:c r="X52" s="19" t="str">
        <x:v>interior_minimum</x:v>
      </x:c>
      <x:c r="Y52" s="19" t="str">
        <x:v>valid</x:v>
      </x:c>
      <x:c r="Z52" s="24" t="n">
        <x:v>6</x:v>
      </x:c>
      <x:c r="AA52" s="24" t="n">
        <x:v>7</x:v>
      </x:c>
      <x:c r="AB52" s="19" t="str"/>
    </x:row>
    <x:row r="53" ht="15" hidden="0" customHeight="1">
      <x:c r="A53" s="19" t="str">
        <x:v>Eel 5</x:v>
      </x:c>
      <x:c r="B53" s="19" t="str">
        <x:v>E05FW18</x:v>
      </x:c>
      <x:c r="C53" s="19" t="str">
        <x:v>2012-09</x:v>
      </x:c>
      <x:c r="D53" s="19" t="n">
        <x:v>2012</x:v>
      </x:c>
      <x:c r="E53" s="19" t="str">
        <x:v>Y1</x:v>
      </x:c>
      <x:c r="F53" s="19" t="n">
        <x:v>2</x:v>
      </x:c>
      <x:c r="G53" s="19" t="str">
        <x:v>FW18</x:v>
      </x:c>
      <x:c r="H53" s="19" t="str">
        <x:v>Freshwater</x:v>
      </x:c>
      <x:c r="I53" s="24" t="n">
        <x:v>18</x:v>
      </x:c>
      <x:c r="J53" s="28" t="n">
        <x:v>56.8</x:v>
      </x:c>
      <x:c r="K53" s="28" t="n">
        <x:v>204</x:v>
      </x:c>
      <x:c r="L53" s="28" t="n">
        <x:v>0.5</x:v>
      </x:c>
      <x:c r="M53" s="26" t="n">
        <x:f>IF(OR(L53="",J53=""),"",L53/(J53/100))</x:f>
        <x:v>0.8802816901408451</x:v>
      </x:c>
      <x:c r="N53" s="26" t="n">
        <x:v>74.80072012588197</x:v>
      </x:c>
      <x:c r="O53" s="26" t="n">
        <x:v>41.55595562548998</x:v>
      </x:c>
      <x:c r="P53" s="20" t="b">
        <x:v>0</x:v>
      </x:c>
      <x:c r="Q53" s="20" t="b">
        <x:v>1</x:v>
      </x:c>
      <x:c r="R53" s="20" t="b">
        <x:v>0</x:v>
      </x:c>
      <x:c r="S53" s="20" t="b">
        <x:v>1</x:v>
      </x:c>
      <x:c r="T53" s="19" t="str">
        <x:v>active_measured</x:v>
      </x:c>
      <x:c r="U53" s="26" t="n">
        <x:v>0.8</x:v>
      </x:c>
      <x:c r="V53" s="26" t="n">
        <x:v>14.553563677083371</x:v>
      </x:c>
      <x:c r="W53" s="26" t="n">
        <x:v>41.914263390000116</x:v>
      </x:c>
      <x:c r="X53" s="19" t="str">
        <x:v>interior_minimum</x:v>
      </x:c>
      <x:c r="Y53" s="19" t="str">
        <x:v>valid</x:v>
      </x:c>
      <x:c r="Z53" s="24" t="n">
        <x:v>6</x:v>
      </x:c>
      <x:c r="AA53" s="24" t="n">
        <x:v>7</x:v>
      </x:c>
      <x:c r="AB53" s="19" t="str"/>
    </x:row>
    <x:row r="54" ht="15" hidden="0" customHeight="1">
      <x:c r="A54" s="19" t="str">
        <x:v>Eel 5</x:v>
      </x:c>
      <x:c r="B54" s="19" t="str">
        <x:v>E05FW18</x:v>
      </x:c>
      <x:c r="C54" s="19" t="str">
        <x:v>2012-09</x:v>
      </x:c>
      <x:c r="D54" s="19" t="n">
        <x:v>2012</x:v>
      </x:c>
      <x:c r="E54" s="19" t="str">
        <x:v>Y1</x:v>
      </x:c>
      <x:c r="F54" s="19" t="n">
        <x:v>2</x:v>
      </x:c>
      <x:c r="G54" s="19" t="str">
        <x:v>FW18</x:v>
      </x:c>
      <x:c r="H54" s="19" t="str">
        <x:v>Freshwater</x:v>
      </x:c>
      <x:c r="I54" s="24" t="n">
        <x:v>18</x:v>
      </x:c>
      <x:c r="J54" s="28" t="n">
        <x:v>56.8</x:v>
      </x:c>
      <x:c r="K54" s="28" t="n">
        <x:v>204</x:v>
      </x:c>
      <x:c r="L54" s="28" t="n">
        <x:v>0.6</x:v>
      </x:c>
      <x:c r="M54" s="26" t="n">
        <x:f>IF(OR(L54="",J54=""),"",L54/(J54/100))</x:f>
        <x:v>1.0563380281690142</x:v>
      </x:c>
      <x:c r="N54" s="26" t="n">
        <x:v>65.55814511647043</x:v>
      </x:c>
      <x:c r="O54" s="26" t="n">
        <x:v>30.35099310947705</x:v>
      </x:c>
      <x:c r="P54" s="20" t="b">
        <x:v>0</x:v>
      </x:c>
      <x:c r="Q54" s="20" t="b">
        <x:v>1</x:v>
      </x:c>
      <x:c r="R54" s="20" t="b">
        <x:v>0</x:v>
      </x:c>
      <x:c r="S54" s="20" t="b">
        <x:v>1</x:v>
      </x:c>
      <x:c r="T54" s="19" t="str">
        <x:v>active_measured</x:v>
      </x:c>
      <x:c r="U54" s="26" t="n">
        <x:v>0.8</x:v>
      </x:c>
      <x:c r="V54" s="26" t="n">
        <x:v>14.553563677083371</x:v>
      </x:c>
      <x:c r="W54" s="26" t="n">
        <x:v>41.914263390000116</x:v>
      </x:c>
      <x:c r="X54" s="19" t="str">
        <x:v>interior_minimum</x:v>
      </x:c>
      <x:c r="Y54" s="19" t="str">
        <x:v>valid</x:v>
      </x:c>
      <x:c r="Z54" s="24" t="n">
        <x:v>6</x:v>
      </x:c>
      <x:c r="AA54" s="24" t="n">
        <x:v>7</x:v>
      </x:c>
      <x:c r="AB54" s="19" t="str"/>
    </x:row>
    <x:row r="55" ht="15" hidden="0" customHeight="1">
      <x:c r="A55" s="19" t="str">
        <x:v>Eel 5</x:v>
      </x:c>
      <x:c r="B55" s="19" t="str">
        <x:v>E05FW18</x:v>
      </x:c>
      <x:c r="C55" s="19" t="str">
        <x:v>2012-09</x:v>
      </x:c>
      <x:c r="D55" s="19" t="n">
        <x:v>2012</x:v>
      </x:c>
      <x:c r="E55" s="19" t="str">
        <x:v>Y1</x:v>
      </x:c>
      <x:c r="F55" s="19" t="n">
        <x:v>2</x:v>
      </x:c>
      <x:c r="G55" s="19" t="str">
        <x:v>FW18</x:v>
      </x:c>
      <x:c r="H55" s="19" t="str">
        <x:v>Freshwater</x:v>
      </x:c>
      <x:c r="I55" s="24" t="n">
        <x:v>18</x:v>
      </x:c>
      <x:c r="J55" s="28" t="n">
        <x:v>56.8</x:v>
      </x:c>
      <x:c r="K55" s="28" t="n">
        <x:v>204</x:v>
      </x:c>
      <x:c r="L55" s="28" t="n">
        <x:v>0.7</x:v>
      </x:c>
      <x:c r="M55" s="26" t="n">
        <x:f>IF(OR(L55="",J55=""),"",L55/(J55/100))</x:f>
        <x:v>1.2323943661971832</x:v>
      </x:c>
      <x:c r="N55" s="26" t="n">
        <x:v>64.05351067411763</x:v>
      </x:c>
      <x:c r="O55" s="26" t="n">
        <x:v>25.41805979131652</x:v>
      </x:c>
      <x:c r="P55" s="20" t="b">
        <x:v>0</x:v>
      </x:c>
      <x:c r="Q55" s="20" t="b">
        <x:v>1</x:v>
      </x:c>
      <x:c r="R55" s="20" t="b">
        <x:v>0</x:v>
      </x:c>
      <x:c r="S55" s="20" t="b">
        <x:v>1</x:v>
      </x:c>
      <x:c r="T55" s="19" t="str">
        <x:v>active_measured</x:v>
      </x:c>
      <x:c r="U55" s="26" t="n">
        <x:v>0.8</x:v>
      </x:c>
      <x:c r="V55" s="26" t="n">
        <x:v>14.553563677083371</x:v>
      </x:c>
      <x:c r="W55" s="26" t="n">
        <x:v>41.914263390000116</x:v>
      </x:c>
      <x:c r="X55" s="19" t="str">
        <x:v>interior_minimum</x:v>
      </x:c>
      <x:c r="Y55" s="19" t="str">
        <x:v>valid</x:v>
      </x:c>
      <x:c r="Z55" s="24" t="n">
        <x:v>6</x:v>
      </x:c>
      <x:c r="AA55" s="24" t="n">
        <x:v>7</x:v>
      </x:c>
      <x:c r="AB55" s="19" t="str"/>
    </x:row>
    <x:row r="56" ht="15" hidden="0" customHeight="1">
      <x:c r="A56" s="19" t="str">
        <x:v>Eel 5</x:v>
      </x:c>
      <x:c r="B56" s="19" t="str">
        <x:v>E05FW18</x:v>
      </x:c>
      <x:c r="C56" s="19" t="str">
        <x:v>2012-09</x:v>
      </x:c>
      <x:c r="D56" s="19" t="n">
        <x:v>2012</x:v>
      </x:c>
      <x:c r="E56" s="19" t="str">
        <x:v>Y1</x:v>
      </x:c>
      <x:c r="F56" s="19" t="n">
        <x:v>2</x:v>
      </x:c>
      <x:c r="G56" s="19" t="str">
        <x:v>FW18</x:v>
      </x:c>
      <x:c r="H56" s="19" t="str">
        <x:v>Freshwater</x:v>
      </x:c>
      <x:c r="I56" s="24" t="n">
        <x:v>18</x:v>
      </x:c>
      <x:c r="J56" s="28" t="n">
        <x:v>56.8</x:v>
      </x:c>
      <x:c r="K56" s="28" t="n">
        <x:v>204</x:v>
      </x:c>
      <x:c r="L56" s="28" t="n">
        <x:v>0.8</x:v>
      </x:c>
      <x:c r="M56" s="26" t="n">
        <x:f>IF(OR(L56="",J56=""),"",L56/(J56/100))</x:f>
        <x:v>1.4084507042253522</x:v>
      </x:c>
      <x:c r="N56" s="26" t="n">
        <x:v>41.914263390000116</x:v>
      </x:c>
      <x:c r="O56" s="26" t="n">
        <x:v>14.553563677083371</x:v>
      </x:c>
      <x:c r="P56" s="20" t="b">
        <x:v>0</x:v>
      </x:c>
      <x:c r="Q56" s="20" t="b">
        <x:v>1</x:v>
      </x:c>
      <x:c r="R56" s="20" t="b">
        <x:v>1</x:v>
      </x:c>
      <x:c r="S56" s="20" t="b">
        <x:v>1</x:v>
      </x:c>
      <x:c r="T56" s="19" t="str">
        <x:v>uopt_speed</x:v>
      </x:c>
      <x:c r="U56" s="26" t="n">
        <x:v>0.8</x:v>
      </x:c>
      <x:c r="V56" s="26" t="n">
        <x:v>14.553563677083371</x:v>
      </x:c>
      <x:c r="W56" s="26" t="n">
        <x:v>41.914263390000116</x:v>
      </x:c>
      <x:c r="X56" s="19" t="str">
        <x:v>interior_minimum</x:v>
      </x:c>
      <x:c r="Y56" s="19" t="str">
        <x:v>valid</x:v>
      </x:c>
      <x:c r="Z56" s="24" t="n">
        <x:v>6</x:v>
      </x:c>
      <x:c r="AA56" s="24" t="n">
        <x:v>7</x:v>
      </x:c>
      <x:c r="AB56" s="19" t="str">
        <x:v>Uopt/minCOT occurs at an interior observed active speed.</x:v>
      </x:c>
    </x:row>
    <x:row r="57" ht="15" hidden="0" customHeight="1">
      <x:c r="A57" s="19" t="str">
        <x:v>Eel 5</x:v>
      </x:c>
      <x:c r="B57" s="19" t="str">
        <x:v>E05FW18</x:v>
      </x:c>
      <x:c r="C57" s="19" t="str">
        <x:v>2012-09</x:v>
      </x:c>
      <x:c r="D57" s="19" t="n">
        <x:v>2012</x:v>
      </x:c>
      <x:c r="E57" s="19" t="str">
        <x:v>Y1</x:v>
      </x:c>
      <x:c r="F57" s="19" t="n">
        <x:v>2</x:v>
      </x:c>
      <x:c r="G57" s="19" t="str">
        <x:v>FW18</x:v>
      </x:c>
      <x:c r="H57" s="19" t="str">
        <x:v>Freshwater</x:v>
      </x:c>
      <x:c r="I57" s="24" t="n">
        <x:v>18</x:v>
      </x:c>
      <x:c r="J57" s="28" t="n">
        <x:v>56.8</x:v>
      </x:c>
      <x:c r="K57" s="28" t="n">
        <x:v>204</x:v>
      </x:c>
      <x:c r="L57" s="28" t="n">
        <x:v>0.9</x:v>
      </x:c>
      <x:c r="M57" s="26" t="n">
        <x:f>IF(OR(L57="",J57=""),"",L57/(J57/100))</x:f>
        <x:v>1.5845070422535212</x:v>
      </x:c>
      <x:c r="N57" s="26" t="n">
        <x:v>150.31803252235252</x:v>
      </x:c>
      <x:c r="O57" s="26" t="n">
        <x:v>46.394454482207564</x:v>
      </x:c>
      <x:c r="P57" s="20" t="b">
        <x:v>0</x:v>
      </x:c>
      <x:c r="Q57" s="20" t="b">
        <x:v>1</x:v>
      </x:c>
      <x:c r="R57" s="20" t="b">
        <x:v>0</x:v>
      </x:c>
      <x:c r="S57" s="20" t="b">
        <x:v>1</x:v>
      </x:c>
      <x:c r="T57" s="19" t="str">
        <x:v>active_measured</x:v>
      </x:c>
      <x:c r="U57" s="26" t="n">
        <x:v>0.8</x:v>
      </x:c>
      <x:c r="V57" s="26" t="n">
        <x:v>14.553563677083371</x:v>
      </x:c>
      <x:c r="W57" s="26" t="n">
        <x:v>41.914263390000116</x:v>
      </x:c>
      <x:c r="X57" s="19" t="str">
        <x:v>interior_minimum</x:v>
      </x:c>
      <x:c r="Y57" s="19" t="str">
        <x:v>valid</x:v>
      </x:c>
      <x:c r="Z57" s="24" t="n">
        <x:v>6</x:v>
      </x:c>
      <x:c r="AA57" s="24" t="n">
        <x:v>7</x:v>
      </x:c>
      <x:c r="AB57" s="19" t="str"/>
    </x:row>
    <x:row r="58" ht="15" hidden="0" customHeight="1">
      <x:c r="A58" s="19" t="str">
        <x:v>Eel 5</x:v>
      </x:c>
      <x:c r="B58" s="19" t="str">
        <x:v>E05FW18</x:v>
      </x:c>
      <x:c r="C58" s="19" t="str">
        <x:v>2012-09</x:v>
      </x:c>
      <x:c r="D58" s="19" t="n">
        <x:v>2012</x:v>
      </x:c>
      <x:c r="E58" s="19" t="str">
        <x:v>Y1</x:v>
      </x:c>
      <x:c r="F58" s="19" t="n">
        <x:v>2</x:v>
      </x:c>
      <x:c r="G58" s="19" t="str">
        <x:v>FW18</x:v>
      </x:c>
      <x:c r="H58" s="19" t="str">
        <x:v>Freshwater</x:v>
      </x:c>
      <x:c r="I58" s="24" t="n">
        <x:v>18</x:v>
      </x:c>
      <x:c r="J58" s="28" t="n">
        <x:v>56.8</x:v>
      </x:c>
      <x:c r="K58" s="28" t="n">
        <x:v>204</x:v>
      </x:c>
      <x:c r="L58" s="28" t="n">
        <x:v>1</x:v>
      </x:c>
      <x:c r="M58" s="26" t="n">
        <x:f>IF(OR(L58="",J58=""),"",L58/(J58/100))</x:f>
        <x:v>1.7605633802816902</x:v>
      </x:c>
      <x:c r="N58" s="26" t="n">
        <x:v>63.08632043470555</x:v>
      </x:c>
      <x:c r="O58" s="26" t="n">
        <x:v>17.523977898529317</x:v>
      </x:c>
      <x:c r="P58" s="20" t="b">
        <x:v>0</x:v>
      </x:c>
      <x:c r="Q58" s="20" t="b">
        <x:v>1</x:v>
      </x:c>
      <x:c r="R58" s="20" t="b">
        <x:v>0</x:v>
      </x:c>
      <x:c r="S58" s="20" t="b">
        <x:v>1</x:v>
      </x:c>
      <x:c r="T58" s="19" t="str">
        <x:v>active_measured</x:v>
      </x:c>
      <x:c r="U58" s="26" t="n">
        <x:v>0.8</x:v>
      </x:c>
      <x:c r="V58" s="26" t="n">
        <x:v>14.553563677083371</x:v>
      </x:c>
      <x:c r="W58" s="26" t="n">
        <x:v>41.914263390000116</x:v>
      </x:c>
      <x:c r="X58" s="19" t="str">
        <x:v>interior_minimum</x:v>
      </x:c>
      <x:c r="Y58" s="19" t="str">
        <x:v>valid</x:v>
      </x:c>
      <x:c r="Z58" s="24" t="n">
        <x:v>6</x:v>
      </x:c>
      <x:c r="AA58" s="24" t="n">
        <x:v>7</x:v>
      </x:c>
      <x:c r="AB58" s="19" t="str"/>
    </x:row>
    <x:row r="59" ht="15" hidden="0" customHeight="1">
      <x:c r="A59" s="19" t="str">
        <x:v>Eel 6</x:v>
      </x:c>
      <x:c r="B59" s="19" t="str">
        <x:v>E06FW18</x:v>
      </x:c>
      <x:c r="C59" s="19" t="str">
        <x:v>2012-10</x:v>
      </x:c>
      <x:c r="D59" s="19" t="n">
        <x:v>2012</x:v>
      </x:c>
      <x:c r="E59" s="19" t="str">
        <x:v>Y2</x:v>
      </x:c>
      <x:c r="F59" s="19" t="n">
        <x:v>2</x:v>
      </x:c>
      <x:c r="G59" s="19" t="str">
        <x:v>FW18</x:v>
      </x:c>
      <x:c r="H59" s="19" t="str">
        <x:v>Freshwater</x:v>
      </x:c>
      <x:c r="I59" s="24" t="n">
        <x:v>18</x:v>
      </x:c>
      <x:c r="J59" s="28" t="n">
        <x:v>62.7</x:v>
      </x:c>
      <x:c r="K59" s="28" t="n">
        <x:v>347</x:v>
      </x:c>
      <x:c r="L59" s="28" t="n">
        <x:v>0.1</x:v>
      </x:c>
      <x:c r="M59" s="26" t="n">
        <x:f>IF(OR(L59="",J59=""),"",L59/(J59/100))</x:f>
        <x:v>0.1594896331738437</x:v>
      </x:c>
      <x:c r="N59" s="26" t="n">
        <x:v>29.44</x:v>
      </x:c>
      <x:c r="O59" s="26" t="n">
        <x:v>81.77777777777777</x:v>
      </x:c>
      <x:c r="P59" s="20" t="b">
        <x:v>1</x:v>
      </x:c>
      <x:c r="Q59" s="20" t="b">
        <x:v>0</x:v>
      </x:c>
      <x:c r="R59" s="20" t="b">
        <x:v>0</x:v>
      </x:c>
      <x:c r="S59" s="20" t="b">
        <x:v>0</x:v>
      </x:c>
      <x:c r="T59" s="19" t="str">
        <x:v>lowflow_0.1_m_s</x:v>
      </x:c>
      <x:c r="U59" s="26"/>
      <x:c r="V59" s="26"/>
      <x:c r="W59" s="26"/>
      <x:c r="X59" s="19" t="str">
        <x:v>not_estimable</x:v>
      </x:c>
      <x:c r="Y59" s="19" t="str">
        <x:v>not_estimable</x:v>
      </x:c>
      <x:c r="Z59" s="24" t="n">
        <x:v>12</x:v>
      </x:c>
      <x:c r="AA59" s="24" t="n">
        <x:v>13</x:v>
      </x:c>
      <x:c r="AB59" s="19" t="str"/>
    </x:row>
    <x:row r="60" ht="15" hidden="0" customHeight="1">
      <x:c r="A60" s="19" t="str">
        <x:v>Eel 7</x:v>
      </x:c>
      <x:c r="B60" s="19" t="str">
        <x:v>E07FW18</x:v>
      </x:c>
      <x:c r="C60" s="19" t="str">
        <x:v>2012-10</x:v>
      </x:c>
      <x:c r="D60" s="19" t="n">
        <x:v>2012</x:v>
      </x:c>
      <x:c r="E60" s="19" t="str">
        <x:v>Y2</x:v>
      </x:c>
      <x:c r="F60" s="19" t="n">
        <x:v>2</x:v>
      </x:c>
      <x:c r="G60" s="19" t="str">
        <x:v>FW18</x:v>
      </x:c>
      <x:c r="H60" s="19" t="str">
        <x:v>Freshwater</x:v>
      </x:c>
      <x:c r="I60" s="24" t="n">
        <x:v>18</x:v>
      </x:c>
      <x:c r="J60" s="28" t="n">
        <x:v>70.3</x:v>
      </x:c>
      <x:c r="K60" s="28" t="n">
        <x:v>570</x:v>
      </x:c>
      <x:c r="L60" s="28" t="n">
        <x:v>0.1</x:v>
      </x:c>
      <x:c r="M60" s="26" t="n">
        <x:f>IF(OR(L60="",J60=""),"",L60/(J60/100))</x:f>
        <x:v>0.1422475106685633</x:v>
      </x:c>
      <x:c r="N60" s="26" t="n">
        <x:v>24.35</x:v>
      </x:c>
      <x:c r="O60" s="26" t="n">
        <x:v>67.63888888888889</x:v>
      </x:c>
      <x:c r="P60" s="20" t="b">
        <x:v>1</x:v>
      </x:c>
      <x:c r="Q60" s="20" t="b">
        <x:v>0</x:v>
      </x:c>
      <x:c r="R60" s="20" t="b">
        <x:v>0</x:v>
      </x:c>
      <x:c r="S60" s="20" t="b">
        <x:v>0</x:v>
      </x:c>
      <x:c r="T60" s="19" t="str">
        <x:v>lowflow_0.1_m_s</x:v>
      </x:c>
      <x:c r="U60" s="26"/>
      <x:c r="V60" s="26"/>
      <x:c r="W60" s="26"/>
      <x:c r="X60" s="19" t="str">
        <x:v>not_estimable</x:v>
      </x:c>
      <x:c r="Y60" s="19" t="str">
        <x:v>not_estimable</x:v>
      </x:c>
      <x:c r="Z60" s="24" t="n">
        <x:v>13</x:v>
      </x:c>
      <x:c r="AA60" s="24" t="n">
        <x:v>14</x:v>
      </x:c>
      <x:c r="AB60" s="19" t="str"/>
    </x:row>
    <x:row r="61" ht="15" hidden="0" customHeight="1">
      <x:c r="A61" s="19" t="str">
        <x:v>Eel 8</x:v>
      </x:c>
      <x:c r="B61" s="19" t="str">
        <x:v>E08FW18</x:v>
      </x:c>
      <x:c r="C61" s="19" t="str">
        <x:v>2012-10</x:v>
      </x:c>
      <x:c r="D61" s="19" t="n">
        <x:v>2012</x:v>
      </x:c>
      <x:c r="E61" s="19" t="str">
        <x:v>Y2</x:v>
      </x:c>
      <x:c r="F61" s="19" t="n">
        <x:v>2</x:v>
      </x:c>
      <x:c r="G61" s="19" t="str">
        <x:v>FW18</x:v>
      </x:c>
      <x:c r="H61" s="19" t="str">
        <x:v>Freshwater</x:v>
      </x:c>
      <x:c r="I61" s="24" t="n">
        <x:v>18</x:v>
      </x:c>
      <x:c r="J61" s="28" t="n">
        <x:v>66.8</x:v>
      </x:c>
      <x:c r="K61" s="28" t="n">
        <x:v>310</x:v>
      </x:c>
      <x:c r="L61" s="28" t="n">
        <x:v>0.1</x:v>
      </x:c>
      <x:c r="M61" s="26" t="n">
        <x:f>IF(OR(L61="",J61=""),"",L61/(J61/100))</x:f>
        <x:v>0.14970059880239522</x:v>
      </x:c>
      <x:c r="N61" s="26" t="n">
        <x:v>36.53</x:v>
      </x:c>
      <x:c r="O61" s="26" t="n">
        <x:v>101.47222222222221</x:v>
      </x:c>
      <x:c r="P61" s="20" t="b">
        <x:v>1</x:v>
      </x:c>
      <x:c r="Q61" s="20" t="b">
        <x:v>0</x:v>
      </x:c>
      <x:c r="R61" s="20" t="b">
        <x:v>0</x:v>
      </x:c>
      <x:c r="S61" s="20" t="b">
        <x:v>0</x:v>
      </x:c>
      <x:c r="T61" s="19" t="str">
        <x:v>lowflow_0.1_m_s</x:v>
      </x:c>
      <x:c r="U61" s="26" t="n">
        <x:v>0.4</x:v>
      </x:c>
      <x:c r="V61" s="26" t="n">
        <x:v>23.888888888888886</x:v>
      </x:c>
      <x:c r="W61" s="26" t="n">
        <x:v>34.4</x:v>
      </x:c>
      <x:c r="X61" s="19" t="str">
        <x:v>single_active_point</x:v>
      </x:c>
      <x:c r="Y61" s="19" t="str">
        <x:v>single_active_point</x:v>
      </x:c>
      <x:c r="Z61" s="24" t="n">
        <x:v>14</x:v>
      </x:c>
      <x:c r="AA61" s="24" t="n">
        <x:v>15</x:v>
      </x:c>
      <x:c r="AB61" s="19" t="str"/>
    </x:row>
    <x:row r="62" ht="15" hidden="0" customHeight="1">
      <x:c r="A62" s="19" t="str">
        <x:v>Eel 8</x:v>
      </x:c>
      <x:c r="B62" s="19" t="str">
        <x:v>E08FW18</x:v>
      </x:c>
      <x:c r="C62" s="19" t="str">
        <x:v>2012-10</x:v>
      </x:c>
      <x:c r="D62" s="19" t="n">
        <x:v>2012</x:v>
      </x:c>
      <x:c r="E62" s="19" t="str">
        <x:v>Y2</x:v>
      </x:c>
      <x:c r="F62" s="19" t="n">
        <x:v>2</x:v>
      </x:c>
      <x:c r="G62" s="19" t="str">
        <x:v>FW18</x:v>
      </x:c>
      <x:c r="H62" s="19" t="str">
        <x:v>Freshwater</x:v>
      </x:c>
      <x:c r="I62" s="24" t="n">
        <x:v>18</x:v>
      </x:c>
      <x:c r="J62" s="28" t="n">
        <x:v>66.8</x:v>
      </x:c>
      <x:c r="K62" s="28" t="n">
        <x:v>310</x:v>
      </x:c>
      <x:c r="L62" s="28" t="n">
        <x:v>0.4</x:v>
      </x:c>
      <x:c r="M62" s="26" t="n">
        <x:f>IF(OR(L62="",J62=""),"",L62/(J62/100))</x:f>
        <x:v>0.5988023952095809</x:v>
      </x:c>
      <x:c r="N62" s="26" t="n">
        <x:v>34.4</x:v>
      </x:c>
      <x:c r="O62" s="26" t="n">
        <x:v>23.888888888888886</x:v>
      </x:c>
      <x:c r="P62" s="20" t="b">
        <x:v>0</x:v>
      </x:c>
      <x:c r="Q62" s="20" t="b">
        <x:v>1</x:v>
      </x:c>
      <x:c r="R62" s="20" t="b">
        <x:v>1</x:v>
      </x:c>
      <x:c r="S62" s="20" t="b">
        <x:v>1</x:v>
      </x:c>
      <x:c r="T62" s="19" t="str">
        <x:v>uopt_speed</x:v>
      </x:c>
      <x:c r="U62" s="26" t="n">
        <x:v>0.4</x:v>
      </x:c>
      <x:c r="V62" s="26" t="n">
        <x:v>23.888888888888886</x:v>
      </x:c>
      <x:c r="W62" s="26" t="n">
        <x:v>34.4</x:v>
      </x:c>
      <x:c r="X62" s="19" t="str">
        <x:v>single_active_point</x:v>
      </x:c>
      <x:c r="Y62" s="19" t="str">
        <x:v>single_active_point</x:v>
      </x:c>
      <x:c r="Z62" s="24" t="n">
        <x:v>14</x:v>
      </x:c>
      <x:c r="AA62" s="24" t="n">
        <x:v>15</x:v>
      </x:c>
      <x:c r="AB62" s="19" t="str">
        <x:v>Only one valid active speed point was available; active metrics status is single_active_point.</x:v>
      </x:c>
    </x:row>
    <x:row r="63" ht="15" hidden="0" customHeight="1">
      <x:c r="A63" s="19" t="str">
        <x:v>Eel 9</x:v>
      </x:c>
      <x:c r="B63" s="19" t="str">
        <x:v>E09FW18</x:v>
      </x:c>
      <x:c r="C63" s="19" t="str">
        <x:v>2012-09</x:v>
      </x:c>
      <x:c r="D63" s="19" t="n">
        <x:v>2012</x:v>
      </x:c>
      <x:c r="E63" s="19" t="str">
        <x:v>Y2</x:v>
      </x:c>
      <x:c r="F63" s="19" t="n">
        <x:v>2</x:v>
      </x:c>
      <x:c r="G63" s="19" t="str">
        <x:v>FW18</x:v>
      </x:c>
      <x:c r="H63" s="19" t="str">
        <x:v>Freshwater</x:v>
      </x:c>
      <x:c r="I63" s="24" t="n">
        <x:v>18</x:v>
      </x:c>
      <x:c r="J63" s="28" t="n">
        <x:v>65.3</x:v>
      </x:c>
      <x:c r="K63" s="28" t="n">
        <x:v>440</x:v>
      </x:c>
      <x:c r="L63" s="28" t="n">
        <x:v>0.1</x:v>
      </x:c>
      <x:c r="M63" s="26" t="n">
        <x:f>IF(OR(L63="",J63=""),"",L63/(J63/100))</x:f>
        <x:v>0.1531393568147014</x:v>
      </x:c>
      <x:c r="N63" s="26" t="n">
        <x:v>30.35523773999966</x:v>
      </x:c>
      <x:c r="O63" s="26" t="n">
        <x:v>84.32010483333238</x:v>
      </x:c>
      <x:c r="P63" s="20" t="b">
        <x:v>1</x:v>
      </x:c>
      <x:c r="Q63" s="20" t="b">
        <x:v>0</x:v>
      </x:c>
      <x:c r="R63" s="20" t="b">
        <x:v>0</x:v>
      </x:c>
      <x:c r="S63" s="20" t="b">
        <x:v>0</x:v>
      </x:c>
      <x:c r="T63" s="19" t="str">
        <x:v>lowflow_0.1_m_s</x:v>
      </x:c>
      <x:c r="U63" s="26"/>
      <x:c r="V63" s="26"/>
      <x:c r="W63" s="26"/>
      <x:c r="X63" s="19" t="str">
        <x:v>not_estimable</x:v>
      </x:c>
      <x:c r="Y63" s="19" t="str">
        <x:v>not_estimable</x:v>
      </x:c>
      <x:c r="Z63" s="24" t="n">
        <x:v>15</x:v>
      </x:c>
      <x:c r="AA63" s="24" t="n">
        <x:v>16</x:v>
      </x:c>
      <x:c r="AB63" s="19" t="str"/>
    </x:row>
    <x:row r="64" ht="15" hidden="0" customHeight="1">
      <x:c r="A64" s="19" t="str">
        <x:v>Eel 10</x:v>
      </x:c>
      <x:c r="B64" s="19" t="str">
        <x:v>E10FW18</x:v>
      </x:c>
      <x:c r="C64" s="19" t="str">
        <x:v>2012-09</x:v>
      </x:c>
      <x:c r="D64" s="19" t="n">
        <x:v>2012</x:v>
      </x:c>
      <x:c r="E64" s="19" t="str">
        <x:v>Y2</x:v>
      </x:c>
      <x:c r="F64" s="19" t="n">
        <x:v>2</x:v>
      </x:c>
      <x:c r="G64" s="19" t="str">
        <x:v>FW18</x:v>
      </x:c>
      <x:c r="H64" s="19" t="str">
        <x:v>Freshwater</x:v>
      </x:c>
      <x:c r="I64" s="24" t="n">
        <x:v>18</x:v>
      </x:c>
      <x:c r="J64" s="28" t="n">
        <x:v>69.3</x:v>
      </x:c>
      <x:c r="K64" s="28" t="n">
        <x:v>414</x:v>
      </x:c>
      <x:c r="L64" s="28" t="n">
        <x:v>0.1</x:v>
      </x:c>
      <x:c r="M64" s="26" t="n">
        <x:f>IF(OR(L64="",J64=""),"",L64/(J64/100))</x:f>
        <x:v>0.14430014430014432</x:v>
      </x:c>
      <x:c r="N64" s="26" t="n">
        <x:v>38.97825800869543</x:v>
      </x:c>
      <x:c r="O64" s="26" t="n">
        <x:v>108.27293891304284</x:v>
      </x:c>
      <x:c r="P64" s="20" t="b">
        <x:v>1</x:v>
      </x:c>
      <x:c r="Q64" s="20" t="b">
        <x:v>0</x:v>
      </x:c>
      <x:c r="R64" s="20" t="b">
        <x:v>0</x:v>
      </x:c>
      <x:c r="S64" s="20" t="b">
        <x:v>0</x:v>
      </x:c>
      <x:c r="T64" s="19" t="str">
        <x:v>lowflow_0.1_m_s</x:v>
      </x:c>
      <x:c r="U64" s="26" t="n">
        <x:v>0.7</x:v>
      </x:c>
      <x:c r="V64" s="26" t="n">
        <x:v>14.009545118012397</x:v>
      </x:c>
      <x:c r="W64" s="26" t="n">
        <x:v>35.30405369739124</x:v>
      </x:c>
      <x:c r="X64" s="19" t="str">
        <x:v>interior_minimum</x:v>
      </x:c>
      <x:c r="Y64" s="19" t="str">
        <x:v>valid</x:v>
      </x:c>
      <x:c r="Z64" s="24" t="n">
        <x:v>16</x:v>
      </x:c>
      <x:c r="AA64" s="24" t="n">
        <x:v>17</x:v>
      </x:c>
      <x:c r="AB64" s="19" t="str"/>
    </x:row>
    <x:row r="65" ht="15" hidden="0" customHeight="1">
      <x:c r="A65" s="19" t="str">
        <x:v>Eel 10</x:v>
      </x:c>
      <x:c r="B65" s="19" t="str">
        <x:v>E10FW18</x:v>
      </x:c>
      <x:c r="C65" s="19" t="str">
        <x:v>2012-09</x:v>
      </x:c>
      <x:c r="D65" s="19" t="n">
        <x:v>2012</x:v>
      </x:c>
      <x:c r="E65" s="19" t="str">
        <x:v>Y2</x:v>
      </x:c>
      <x:c r="F65" s="19" t="n">
        <x:v>2</x:v>
      </x:c>
      <x:c r="G65" s="19" t="str">
        <x:v>FW18</x:v>
      </x:c>
      <x:c r="H65" s="19" t="str">
        <x:v>Freshwater</x:v>
      </x:c>
      <x:c r="I65" s="24" t="n">
        <x:v>18</x:v>
      </x:c>
      <x:c r="J65" s="28" t="n">
        <x:v>69.3</x:v>
      </x:c>
      <x:c r="K65" s="28" t="n">
        <x:v>414</x:v>
      </x:c>
      <x:c r="L65" s="28" t="n">
        <x:v>0.4</x:v>
      </x:c>
      <x:c r="M65" s="26" t="n">
        <x:f>IF(OR(L65="",J65=""),"",L65/(J65/100))</x:f>
        <x:v>0.5772005772005773</x:v>
      </x:c>
      <x:c r="N65" s="26" t="n">
        <x:v>40.14971572695635</x:v>
      </x:c>
      <x:c r="O65" s="26" t="n">
        <x:v>27.881747032608573</x:v>
      </x:c>
      <x:c r="P65" s="20" t="b">
        <x:v>0</x:v>
      </x:c>
      <x:c r="Q65" s="20" t="b">
        <x:v>1</x:v>
      </x:c>
      <x:c r="R65" s="20" t="b">
        <x:v>0</x:v>
      </x:c>
      <x:c r="S65" s="20" t="b">
        <x:v>1</x:v>
      </x:c>
      <x:c r="T65" s="19" t="str">
        <x:v>active_measured</x:v>
      </x:c>
      <x:c r="U65" s="26" t="n">
        <x:v>0.7</x:v>
      </x:c>
      <x:c r="V65" s="26" t="n">
        <x:v>14.009545118012397</x:v>
      </x:c>
      <x:c r="W65" s="26" t="n">
        <x:v>35.30405369739124</x:v>
      </x:c>
      <x:c r="X65" s="19" t="str">
        <x:v>interior_minimum</x:v>
      </x:c>
      <x:c r="Y65" s="19" t="str">
        <x:v>valid</x:v>
      </x:c>
      <x:c r="Z65" s="24" t="n">
        <x:v>16</x:v>
      </x:c>
      <x:c r="AA65" s="24" t="n">
        <x:v>17</x:v>
      </x:c>
      <x:c r="AB65" s="19" t="str"/>
    </x:row>
    <x:row r="66" ht="15" hidden="0" customHeight="1">
      <x:c r="A66" s="19" t="str">
        <x:v>Eel 10</x:v>
      </x:c>
      <x:c r="B66" s="19" t="str">
        <x:v>E10FW18</x:v>
      </x:c>
      <x:c r="C66" s="19" t="str">
        <x:v>2012-09</x:v>
      </x:c>
      <x:c r="D66" s="19" t="n">
        <x:v>2012</x:v>
      </x:c>
      <x:c r="E66" s="19" t="str">
        <x:v>Y2</x:v>
      </x:c>
      <x:c r="F66" s="19" t="n">
        <x:v>2</x:v>
      </x:c>
      <x:c r="G66" s="19" t="str">
        <x:v>FW18</x:v>
      </x:c>
      <x:c r="H66" s="19" t="str">
        <x:v>Freshwater</x:v>
      </x:c>
      <x:c r="I66" s="24" t="n">
        <x:v>18</x:v>
      </x:c>
      <x:c r="J66" s="28" t="n">
        <x:v>69.3</x:v>
      </x:c>
      <x:c r="K66" s="28" t="n">
        <x:v>414</x:v>
      </x:c>
      <x:c r="L66" s="28" t="n">
        <x:v>0.5</x:v>
      </x:c>
      <x:c r="M66" s="26" t="n">
        <x:f>IF(OR(L66="",J66=""),"",L66/(J66/100))</x:f>
        <x:v>0.7215007215007215</x:v>
      </x:c>
      <x:c r="N66" s="26" t="n">
        <x:v>37.59376099304345</x:v>
      </x:c>
      <x:c r="O66" s="26" t="n">
        <x:v>20.885422773913028</x:v>
      </x:c>
      <x:c r="P66" s="20" t="b">
        <x:v>0</x:v>
      </x:c>
      <x:c r="Q66" s="20" t="b">
        <x:v>1</x:v>
      </x:c>
      <x:c r="R66" s="20" t="b">
        <x:v>0</x:v>
      </x:c>
      <x:c r="S66" s="20" t="b">
        <x:v>1</x:v>
      </x:c>
      <x:c r="T66" s="19" t="str">
        <x:v>active_measured</x:v>
      </x:c>
      <x:c r="U66" s="26" t="n">
        <x:v>0.7</x:v>
      </x:c>
      <x:c r="V66" s="26" t="n">
        <x:v>14.009545118012397</x:v>
      </x:c>
      <x:c r="W66" s="26" t="n">
        <x:v>35.30405369739124</x:v>
      </x:c>
      <x:c r="X66" s="19" t="str">
        <x:v>interior_minimum</x:v>
      </x:c>
      <x:c r="Y66" s="19" t="str">
        <x:v>valid</x:v>
      </x:c>
      <x:c r="Z66" s="24" t="n">
        <x:v>16</x:v>
      </x:c>
      <x:c r="AA66" s="24" t="n">
        <x:v>17</x:v>
      </x:c>
      <x:c r="AB66" s="19" t="str"/>
    </x:row>
    <x:row r="67" ht="15" hidden="0" customHeight="1">
      <x:c r="A67" s="19" t="str">
        <x:v>Eel 10</x:v>
      </x:c>
      <x:c r="B67" s="19" t="str">
        <x:v>E10FW18</x:v>
      </x:c>
      <x:c r="C67" s="19" t="str">
        <x:v>2012-09</x:v>
      </x:c>
      <x:c r="D67" s="19" t="n">
        <x:v>2012</x:v>
      </x:c>
      <x:c r="E67" s="19" t="str">
        <x:v>Y2</x:v>
      </x:c>
      <x:c r="F67" s="19" t="n">
        <x:v>2</x:v>
      </x:c>
      <x:c r="G67" s="19" t="str">
        <x:v>FW18</x:v>
      </x:c>
      <x:c r="H67" s="19" t="str">
        <x:v>Freshwater</x:v>
      </x:c>
      <x:c r="I67" s="24" t="n">
        <x:v>18</x:v>
      </x:c>
      <x:c r="J67" s="28" t="n">
        <x:v>69.3</x:v>
      </x:c>
      <x:c r="K67" s="28" t="n">
        <x:v>414</x:v>
      </x:c>
      <x:c r="L67" s="28" t="n">
        <x:v>0.6</x:v>
      </x:c>
      <x:c r="M67" s="26" t="n">
        <x:f>IF(OR(L67="",J67=""),"",L67/(J67/100))</x:f>
        <x:v>0.8658008658008658</x:v>
      </x:c>
      <x:c r="N67" s="26" t="n">
        <x:v>54.02994262956517</x:v>
      </x:c>
      <x:c r="O67" s="26" t="n">
        <x:v>25.01386232850239</x:v>
      </x:c>
      <x:c r="P67" s="20" t="b">
        <x:v>0</x:v>
      </x:c>
      <x:c r="Q67" s="20" t="b">
        <x:v>1</x:v>
      </x:c>
      <x:c r="R67" s="20" t="b">
        <x:v>0</x:v>
      </x:c>
      <x:c r="S67" s="20" t="b">
        <x:v>1</x:v>
      </x:c>
      <x:c r="T67" s="19" t="str">
        <x:v>active_measured</x:v>
      </x:c>
      <x:c r="U67" s="26" t="n">
        <x:v>0.7</x:v>
      </x:c>
      <x:c r="V67" s="26" t="n">
        <x:v>14.009545118012397</x:v>
      </x:c>
      <x:c r="W67" s="26" t="n">
        <x:v>35.30405369739124</x:v>
      </x:c>
      <x:c r="X67" s="19" t="str">
        <x:v>interior_minimum</x:v>
      </x:c>
      <x:c r="Y67" s="19" t="str">
        <x:v>valid</x:v>
      </x:c>
      <x:c r="Z67" s="24" t="n">
        <x:v>16</x:v>
      </x:c>
      <x:c r="AA67" s="24" t="n">
        <x:v>17</x:v>
      </x:c>
      <x:c r="AB67" s="19" t="str"/>
    </x:row>
    <x:row r="68" ht="15" hidden="0" customHeight="1">
      <x:c r="A68" s="19" t="str">
        <x:v>Eel 10</x:v>
      </x:c>
      <x:c r="B68" s="19" t="str">
        <x:v>E10FW18</x:v>
      </x:c>
      <x:c r="C68" s="19" t="str">
        <x:v>2012-09</x:v>
      </x:c>
      <x:c r="D68" s="19" t="n">
        <x:v>2012</x:v>
      </x:c>
      <x:c r="E68" s="19" t="str">
        <x:v>Y2</x:v>
      </x:c>
      <x:c r="F68" s="19" t="n">
        <x:v>2</x:v>
      </x:c>
      <x:c r="G68" s="19" t="str">
        <x:v>FW18</x:v>
      </x:c>
      <x:c r="H68" s="19" t="str">
        <x:v>Freshwater</x:v>
      </x:c>
      <x:c r="I68" s="24" t="n">
        <x:v>18</x:v>
      </x:c>
      <x:c r="J68" s="28" t="n">
        <x:v>69.3</x:v>
      </x:c>
      <x:c r="K68" s="28" t="n">
        <x:v>414</x:v>
      </x:c>
      <x:c r="L68" s="28" t="n">
        <x:v>0.7</x:v>
      </x:c>
      <x:c r="M68" s="26" t="n">
        <x:f>IF(OR(L68="",J68=""),"",L68/(J68/100))</x:f>
        <x:v>1.0101010101010102</x:v>
      </x:c>
      <x:c r="N68" s="26" t="n">
        <x:v>35.30405369739124</x:v>
      </x:c>
      <x:c r="O68" s="26" t="n">
        <x:v>14.009545118012397</x:v>
      </x:c>
      <x:c r="P68" s="20" t="b">
        <x:v>0</x:v>
      </x:c>
      <x:c r="Q68" s="20" t="b">
        <x:v>1</x:v>
      </x:c>
      <x:c r="R68" s="20" t="b">
        <x:v>1</x:v>
      </x:c>
      <x:c r="S68" s="20" t="b">
        <x:v>1</x:v>
      </x:c>
      <x:c r="T68" s="19" t="str">
        <x:v>uopt_speed</x:v>
      </x:c>
      <x:c r="U68" s="26" t="n">
        <x:v>0.7</x:v>
      </x:c>
      <x:c r="V68" s="26" t="n">
        <x:v>14.009545118012397</x:v>
      </x:c>
      <x:c r="W68" s="26" t="n">
        <x:v>35.30405369739124</x:v>
      </x:c>
      <x:c r="X68" s="19" t="str">
        <x:v>interior_minimum</x:v>
      </x:c>
      <x:c r="Y68" s="19" t="str">
        <x:v>valid</x:v>
      </x:c>
      <x:c r="Z68" s="24" t="n">
        <x:v>16</x:v>
      </x:c>
      <x:c r="AA68" s="24" t="n">
        <x:v>17</x:v>
      </x:c>
      <x:c r="AB68" s="19" t="str">
        <x:v>Uopt/minCOT occurs at an interior observed active speed.</x:v>
      </x:c>
    </x:row>
    <x:row r="69" ht="15" hidden="0" customHeight="1">
      <x:c r="A69" s="19" t="str">
        <x:v>Eel 10</x:v>
      </x:c>
      <x:c r="B69" s="19" t="str">
        <x:v>E10FW18</x:v>
      </x:c>
      <x:c r="C69" s="19" t="str">
        <x:v>2012-09</x:v>
      </x:c>
      <x:c r="D69" s="19" t="n">
        <x:v>2012</x:v>
      </x:c>
      <x:c r="E69" s="19" t="str">
        <x:v>Y2</x:v>
      </x:c>
      <x:c r="F69" s="19" t="n">
        <x:v>2</x:v>
      </x:c>
      <x:c r="G69" s="19" t="str">
        <x:v>FW18</x:v>
      </x:c>
      <x:c r="H69" s="19" t="str">
        <x:v>Freshwater</x:v>
      </x:c>
      <x:c r="I69" s="24" t="n">
        <x:v>18</x:v>
      </x:c>
      <x:c r="J69" s="28" t="n">
        <x:v>69.3</x:v>
      </x:c>
      <x:c r="K69" s="28" t="n">
        <x:v>414</x:v>
      </x:c>
      <x:c r="L69" s="28" t="n">
        <x:v>0.8</x:v>
      </x:c>
      <x:c r="M69" s="26" t="n">
        <x:f>IF(OR(L69="",J69=""),"",L69/(J69/100))</x:f>
        <x:v>1.1544011544011545</x:v>
      </x:c>
      <x:c r="N69" s="26" t="n">
        <x:v>72.52509928695659</x:v>
      </x:c>
      <x:c r="O69" s="26" t="n">
        <x:v>25.18232614130437</x:v>
      </x:c>
      <x:c r="P69" s="20" t="b">
        <x:v>0</x:v>
      </x:c>
      <x:c r="Q69" s="20" t="b">
        <x:v>1</x:v>
      </x:c>
      <x:c r="R69" s="20" t="b">
        <x:v>0</x:v>
      </x:c>
      <x:c r="S69" s="20" t="b">
        <x:v>1</x:v>
      </x:c>
      <x:c r="T69" s="19" t="str">
        <x:v>active_measured</x:v>
      </x:c>
      <x:c r="U69" s="26" t="n">
        <x:v>0.7</x:v>
      </x:c>
      <x:c r="V69" s="26" t="n">
        <x:v>14.009545118012397</x:v>
      </x:c>
      <x:c r="W69" s="26" t="n">
        <x:v>35.30405369739124</x:v>
      </x:c>
      <x:c r="X69" s="19" t="str">
        <x:v>interior_minimum</x:v>
      </x:c>
      <x:c r="Y69" s="19" t="str">
        <x:v>valid</x:v>
      </x:c>
      <x:c r="Z69" s="24" t="n">
        <x:v>16</x:v>
      </x:c>
      <x:c r="AA69" s="24" t="n">
        <x:v>17</x:v>
      </x:c>
      <x:c r="AB69" s="19" t="str"/>
    </x:row>
    <x:row r="70" ht="15" hidden="0" customHeight="1">
      <x:c r="A70" s="19" t="str">
        <x:v>Eel 10</x:v>
      </x:c>
      <x:c r="B70" s="19" t="str">
        <x:v>E10FW18</x:v>
      </x:c>
      <x:c r="C70" s="19" t="str">
        <x:v>2012-09</x:v>
      </x:c>
      <x:c r="D70" s="19" t="n">
        <x:v>2012</x:v>
      </x:c>
      <x:c r="E70" s="19" t="str">
        <x:v>Y2</x:v>
      </x:c>
      <x:c r="F70" s="19" t="n">
        <x:v>2</x:v>
      </x:c>
      <x:c r="G70" s="19" t="str">
        <x:v>FW18</x:v>
      </x:c>
      <x:c r="H70" s="19" t="str">
        <x:v>Freshwater</x:v>
      </x:c>
      <x:c r="I70" s="24" t="n">
        <x:v>18</x:v>
      </x:c>
      <x:c r="J70" s="28" t="n">
        <x:v>69.3</x:v>
      </x:c>
      <x:c r="K70" s="28" t="n">
        <x:v>414</x:v>
      </x:c>
      <x:c r="L70" s="28" t="n">
        <x:v>0.9</x:v>
      </x:c>
      <x:c r="M70" s="26" t="n">
        <x:f>IF(OR(L70="",J70=""),"",L70/(J70/100))</x:f>
        <x:v>1.298701298701299</x:v>
      </x:c>
      <x:c r="N70" s="26" t="n">
        <x:v>74.83254262956534</x:v>
      </x:c>
      <x:c r="O70" s="26" t="n">
        <x:v>23.0964637745572</x:v>
      </x:c>
      <x:c r="P70" s="20" t="b">
        <x:v>0</x:v>
      </x:c>
      <x:c r="Q70" s="20" t="b">
        <x:v>1</x:v>
      </x:c>
      <x:c r="R70" s="20" t="b">
        <x:v>0</x:v>
      </x:c>
      <x:c r="S70" s="20" t="b">
        <x:v>1</x:v>
      </x:c>
      <x:c r="T70" s="19" t="str">
        <x:v>active_measured</x:v>
      </x:c>
      <x:c r="U70" s="26" t="n">
        <x:v>0.7</x:v>
      </x:c>
      <x:c r="V70" s="26" t="n">
        <x:v>14.009545118012397</x:v>
      </x:c>
      <x:c r="W70" s="26" t="n">
        <x:v>35.30405369739124</x:v>
      </x:c>
      <x:c r="X70" s="19" t="str">
        <x:v>interior_minimum</x:v>
      </x:c>
      <x:c r="Y70" s="19" t="str">
        <x:v>valid</x:v>
      </x:c>
      <x:c r="Z70" s="24" t="n">
        <x:v>16</x:v>
      </x:c>
      <x:c r="AA70" s="24" t="n">
        <x:v>17</x:v>
      </x:c>
      <x:c r="AB70" s="19" t="str"/>
    </x:row>
    <x:row r="71" ht="15" hidden="0" customHeight="1">
      <x:c r="A71" s="19" t="str">
        <x:v>Eel 12</x:v>
      </x:c>
      <x:c r="B71" s="19" t="str">
        <x:v>E12SW18</x:v>
      </x:c>
      <x:c r="C71" s="19" t="str">
        <x:v>2012-01</x:v>
      </x:c>
      <x:c r="D71" s="19" t="n">
        <x:v>2011</x:v>
      </x:c>
      <x:c r="E71" s="19" t="str">
        <x:v>Y2</x:v>
      </x:c>
      <x:c r="F71" s="19" t="n">
        <x:v>1</x:v>
      </x:c>
      <x:c r="G71" s="19" t="str">
        <x:v>SW18</x:v>
      </x:c>
      <x:c r="H71" s="19" t="str">
        <x:v>Seawater</x:v>
      </x:c>
      <x:c r="I71" s="24" t="n">
        <x:v>18</x:v>
      </x:c>
      <x:c r="J71" s="28" t="n">
        <x:v>75.4</x:v>
      </x:c>
      <x:c r="K71" s="28" t="n">
        <x:v>713</x:v>
      </x:c>
      <x:c r="L71" s="28" t="n">
        <x:v>0.1</x:v>
      </x:c>
      <x:c r="M71" s="26" t="n">
        <x:f>IF(OR(L71="",J71=""),"",L71/(J71/100))</x:f>
        <x:v>0.13262599469496023</x:v>
      </x:c>
      <x:c r="N71" s="26" t="n">
        <x:v>41.65297425795253</x:v>
      </x:c>
      <x:c r="O71" s="26" t="n">
        <x:v>115.70270627209034</x:v>
      </x:c>
      <x:c r="P71" s="20" t="b">
        <x:v>1</x:v>
      </x:c>
      <x:c r="Q71" s="20" t="b">
        <x:v>0</x:v>
      </x:c>
      <x:c r="R71" s="20" t="b">
        <x:v>0</x:v>
      </x:c>
      <x:c r="S71" s="20" t="b">
        <x:v>0</x:v>
      </x:c>
      <x:c r="T71" s="19" t="str">
        <x:v>lowflow_0.1_m_s</x:v>
      </x:c>
      <x:c r="U71" s="26" t="n">
        <x:v>0.5</x:v>
      </x:c>
      <x:c r="V71" s="26" t="n">
        <x:v>54.324749207966356</x:v>
      </x:c>
      <x:c r="W71" s="26" t="n">
        <x:v>97.78454857433944</x:v>
      </x:c>
      <x:c r="X71" s="19" t="str">
        <x:v>interior_minimum</x:v>
      </x:c>
      <x:c r="Y71" s="19" t="str">
        <x:v>valid</x:v>
      </x:c>
      <x:c r="Z71" s="24" t="n">
        <x:v>23</x:v>
      </x:c>
      <x:c r="AA71" s="24" t="n">
        <x:v>24</x:v>
      </x:c>
      <x:c r="AB71" s="19" t="str"/>
    </x:row>
    <x:row r="72" ht="15" hidden="0" customHeight="1">
      <x:c r="A72" s="19" t="str">
        <x:v>Eel 12</x:v>
      </x:c>
      <x:c r="B72" s="19" t="str">
        <x:v>E12SW18</x:v>
      </x:c>
      <x:c r="C72" s="19" t="str">
        <x:v>2012-01</x:v>
      </x:c>
      <x:c r="D72" s="19" t="n">
        <x:v>2011</x:v>
      </x:c>
      <x:c r="E72" s="19" t="str">
        <x:v>Y2</x:v>
      </x:c>
      <x:c r="F72" s="19" t="n">
        <x:v>1</x:v>
      </x:c>
      <x:c r="G72" s="19" t="str">
        <x:v>SW18</x:v>
      </x:c>
      <x:c r="H72" s="19" t="str">
        <x:v>Seawater</x:v>
      </x:c>
      <x:c r="I72" s="24" t="n">
        <x:v>18</x:v>
      </x:c>
      <x:c r="J72" s="28" t="n">
        <x:v>75.4</x:v>
      </x:c>
      <x:c r="K72" s="28" t="n">
        <x:v>713</x:v>
      </x:c>
      <x:c r="L72" s="28" t="n">
        <x:v>0.4</x:v>
      </x:c>
      <x:c r="M72" s="26" t="n">
        <x:f>IF(OR(L72="",J72=""),"",L72/(J72/100))</x:f>
        <x:v>0.5305039787798409</x:v>
      </x:c>
      <x:c r="N72" s="26" t="n">
        <x:v>84.78497638310245</x:v>
      </x:c>
      <x:c r="O72" s="26" t="n">
        <x:v>58.87845582159891</x:v>
      </x:c>
      <x:c r="P72" s="20" t="b">
        <x:v>0</x:v>
      </x:c>
      <x:c r="Q72" s="20" t="b">
        <x:v>1</x:v>
      </x:c>
      <x:c r="R72" s="20" t="b">
        <x:v>0</x:v>
      </x:c>
      <x:c r="S72" s="20" t="b">
        <x:v>1</x:v>
      </x:c>
      <x:c r="T72" s="19" t="str">
        <x:v>active_measured</x:v>
      </x:c>
      <x:c r="U72" s="26" t="n">
        <x:v>0.5</x:v>
      </x:c>
      <x:c r="V72" s="26" t="n">
        <x:v>54.324749207966356</x:v>
      </x:c>
      <x:c r="W72" s="26" t="n">
        <x:v>97.78454857433944</x:v>
      </x:c>
      <x:c r="X72" s="19" t="str">
        <x:v>interior_minimum</x:v>
      </x:c>
      <x:c r="Y72" s="19" t="str">
        <x:v>valid</x:v>
      </x:c>
      <x:c r="Z72" s="24" t="n">
        <x:v>23</x:v>
      </x:c>
      <x:c r="AA72" s="24" t="n">
        <x:v>24</x:v>
      </x:c>
      <x:c r="AB72" s="19" t="str"/>
    </x:row>
    <x:row r="73" ht="15" hidden="0" customHeight="1">
      <x:c r="A73" s="19" t="str">
        <x:v>Eel 12</x:v>
      </x:c>
      <x:c r="B73" s="19" t="str">
        <x:v>E12SW18</x:v>
      </x:c>
      <x:c r="C73" s="19" t="str">
        <x:v>2012-01</x:v>
      </x:c>
      <x:c r="D73" s="19" t="n">
        <x:v>2011</x:v>
      </x:c>
      <x:c r="E73" s="19" t="str">
        <x:v>Y2</x:v>
      </x:c>
      <x:c r="F73" s="19" t="n">
        <x:v>1</x:v>
      </x:c>
      <x:c r="G73" s="19" t="str">
        <x:v>SW18</x:v>
      </x:c>
      <x:c r="H73" s="19" t="str">
        <x:v>Seawater</x:v>
      </x:c>
      <x:c r="I73" s="24" t="n">
        <x:v>18</x:v>
      </x:c>
      <x:c r="J73" s="28" t="n">
        <x:v>75.4</x:v>
      </x:c>
      <x:c r="K73" s="28" t="n">
        <x:v>713</x:v>
      </x:c>
      <x:c r="L73" s="28" t="n">
        <x:v>0.5</x:v>
      </x:c>
      <x:c r="M73" s="26" t="n">
        <x:f>IF(OR(L73="",J73=""),"",L73/(J73/100))</x:f>
        <x:v>0.6631299734748011</x:v>
      </x:c>
      <x:c r="N73" s="26" t="n">
        <x:v>97.78454857433944</x:v>
      </x:c>
      <x:c r="O73" s="26" t="n">
        <x:v>54.324749207966356</x:v>
      </x:c>
      <x:c r="P73" s="20" t="b">
        <x:v>0</x:v>
      </x:c>
      <x:c r="Q73" s="20" t="b">
        <x:v>1</x:v>
      </x:c>
      <x:c r="R73" s="20" t="b">
        <x:v>1</x:v>
      </x:c>
      <x:c r="S73" s="20" t="b">
        <x:v>1</x:v>
      </x:c>
      <x:c r="T73" s="19" t="str">
        <x:v>uopt_speed</x:v>
      </x:c>
      <x:c r="U73" s="26" t="n">
        <x:v>0.5</x:v>
      </x:c>
      <x:c r="V73" s="26" t="n">
        <x:v>54.324749207966356</x:v>
      </x:c>
      <x:c r="W73" s="26" t="n">
        <x:v>97.78454857433944</x:v>
      </x:c>
      <x:c r="X73" s="19" t="str">
        <x:v>interior_minimum</x:v>
      </x:c>
      <x:c r="Y73" s="19" t="str">
        <x:v>valid</x:v>
      </x:c>
      <x:c r="Z73" s="24" t="n">
        <x:v>23</x:v>
      </x:c>
      <x:c r="AA73" s="24" t="n">
        <x:v>24</x:v>
      </x:c>
      <x:c r="AB73" s="19" t="str">
        <x:v>Uopt/minCOT occurs at an interior observed active speed.</x:v>
      </x:c>
    </x:row>
    <x:row r="74" ht="15" hidden="0" customHeight="1">
      <x:c r="A74" s="19" t="str">
        <x:v>Eel 12</x:v>
      </x:c>
      <x:c r="B74" s="19" t="str">
        <x:v>E12SW18</x:v>
      </x:c>
      <x:c r="C74" s="19" t="str">
        <x:v>2012-01</x:v>
      </x:c>
      <x:c r="D74" s="19" t="n">
        <x:v>2011</x:v>
      </x:c>
      <x:c r="E74" s="19" t="str">
        <x:v>Y2</x:v>
      </x:c>
      <x:c r="F74" s="19" t="n">
        <x:v>1</x:v>
      </x:c>
      <x:c r="G74" s="19" t="str">
        <x:v>SW18</x:v>
      </x:c>
      <x:c r="H74" s="19" t="str">
        <x:v>Seawater</x:v>
      </x:c>
      <x:c r="I74" s="24" t="n">
        <x:v>18</x:v>
      </x:c>
      <x:c r="J74" s="28" t="n">
        <x:v>75.4</x:v>
      </x:c>
      <x:c r="K74" s="28" t="n">
        <x:v>713</x:v>
      </x:c>
      <x:c r="L74" s="28" t="n">
        <x:v>0.6</x:v>
      </x:c>
      <x:c r="M74" s="26" t="n">
        <x:f>IF(OR(L74="",J74=""),"",L74/(J74/100))</x:f>
        <x:v>0.7957559681697612</x:v>
      </x:c>
      <x:c r="N74" s="26" t="n">
        <x:v>133.7132261415989</x:v>
      </x:c>
      <x:c r="O74" s="26" t="n">
        <x:v>61.90427136185134</x:v>
      </x:c>
      <x:c r="P74" s="20" t="b">
        <x:v>0</x:v>
      </x:c>
      <x:c r="Q74" s="20" t="b">
        <x:v>1</x:v>
      </x:c>
      <x:c r="R74" s="20" t="b">
        <x:v>0</x:v>
      </x:c>
      <x:c r="S74" s="20" t="b">
        <x:v>1</x:v>
      </x:c>
      <x:c r="T74" s="19" t="str">
        <x:v>active_measured</x:v>
      </x:c>
      <x:c r="U74" s="26" t="n">
        <x:v>0.5</x:v>
      </x:c>
      <x:c r="V74" s="26" t="n">
        <x:v>54.324749207966356</x:v>
      </x:c>
      <x:c r="W74" s="26" t="n">
        <x:v>97.78454857433944</x:v>
      </x:c>
      <x:c r="X74" s="19" t="str">
        <x:v>interior_minimum</x:v>
      </x:c>
      <x:c r="Y74" s="19" t="str">
        <x:v>valid</x:v>
      </x:c>
      <x:c r="Z74" s="24" t="n">
        <x:v>23</x:v>
      </x:c>
      <x:c r="AA74" s="24" t="n">
        <x:v>24</x:v>
      </x:c>
      <x:c r="AB74" s="19" t="str"/>
    </x:row>
    <x:row r="75" ht="15" hidden="0" customHeight="1">
      <x:c r="A75" s="19" t="str">
        <x:v>Eel 12</x:v>
      </x:c>
      <x:c r="B75" s="19" t="str">
        <x:v>E12SW18</x:v>
      </x:c>
      <x:c r="C75" s="19" t="str">
        <x:v>2012-01</x:v>
      </x:c>
      <x:c r="D75" s="19" t="n">
        <x:v>2011</x:v>
      </x:c>
      <x:c r="E75" s="19" t="str">
        <x:v>Y2</x:v>
      </x:c>
      <x:c r="F75" s="19" t="n">
        <x:v>1</x:v>
      </x:c>
      <x:c r="G75" s="19" t="str">
        <x:v>SW18</x:v>
      </x:c>
      <x:c r="H75" s="19" t="str">
        <x:v>Seawater</x:v>
      </x:c>
      <x:c r="I75" s="24" t="n">
        <x:v>18</x:v>
      </x:c>
      <x:c r="J75" s="28" t="n">
        <x:v>75.4</x:v>
      </x:c>
      <x:c r="K75" s="28" t="n">
        <x:v>713</x:v>
      </x:c>
      <x:c r="L75" s="28" t="n">
        <x:v>0.7</x:v>
      </x:c>
      <x:c r="M75" s="26" t="n">
        <x:f>IF(OR(L75="",J75=""),"",L75/(J75/100))</x:f>
        <x:v>0.9283819628647214</x:v>
      </x:c>
      <x:c r="N75" s="26" t="n">
        <x:v>137.3108898506592</x:v>
      </x:c>
      <x:c r="O75" s="26" t="n">
        <x:v>54.48844835343619</x:v>
      </x:c>
      <x:c r="P75" s="20" t="b">
        <x:v>0</x:v>
      </x:c>
      <x:c r="Q75" s="20" t="b">
        <x:v>1</x:v>
      </x:c>
      <x:c r="R75" s="20" t="b">
        <x:v>0</x:v>
      </x:c>
      <x:c r="S75" s="20" t="b">
        <x:v>1</x:v>
      </x:c>
      <x:c r="T75" s="19" t="str">
        <x:v>active_measured</x:v>
      </x:c>
      <x:c r="U75" s="26" t="n">
        <x:v>0.5</x:v>
      </x:c>
      <x:c r="V75" s="26" t="n">
        <x:v>54.324749207966356</x:v>
      </x:c>
      <x:c r="W75" s="26" t="n">
        <x:v>97.78454857433944</x:v>
      </x:c>
      <x:c r="X75" s="19" t="str">
        <x:v>interior_minimum</x:v>
      </x:c>
      <x:c r="Y75" s="19" t="str">
        <x:v>valid</x:v>
      </x:c>
      <x:c r="Z75" s="24" t="n">
        <x:v>23</x:v>
      </x:c>
      <x:c r="AA75" s="24" t="n">
        <x:v>24</x:v>
      </x:c>
      <x:c r="AB75" s="19" t="str"/>
    </x:row>
    <x:row r="76" ht="15" hidden="0" customHeight="1">
      <x:c r="A76" s="19" t="str">
        <x:v>Eel 12</x:v>
      </x:c>
      <x:c r="B76" s="19" t="str">
        <x:v>E12SW18</x:v>
      </x:c>
      <x:c r="C76" s="19" t="str">
        <x:v>2012-01</x:v>
      </x:c>
      <x:c r="D76" s="19" t="n">
        <x:v>2011</x:v>
      </x:c>
      <x:c r="E76" s="19" t="str">
        <x:v>Y2</x:v>
      </x:c>
      <x:c r="F76" s="19" t="n">
        <x:v>1</x:v>
      </x:c>
      <x:c r="G76" s="19" t="str">
        <x:v>SW18</x:v>
      </x:c>
      <x:c r="H76" s="19" t="str">
        <x:v>Seawater</x:v>
      </x:c>
      <x:c r="I76" s="24" t="n">
        <x:v>18</x:v>
      </x:c>
      <x:c r="J76" s="28" t="n">
        <x:v>75.4</x:v>
      </x:c>
      <x:c r="K76" s="28" t="n">
        <x:v>713</x:v>
      </x:c>
      <x:c r="L76" s="28" t="n">
        <x:v>0.8</x:v>
      </x:c>
      <x:c r="M76" s="26" t="n">
        <x:f>IF(OR(L76="",J76=""),"",L76/(J76/100))</x:f>
        <x:v>1.0610079575596818</x:v>
      </x:c>
      <x:c r="N76" s="26" t="n">
        <x:v>176.6153891874193</x:v>
      </x:c>
      <x:c r="O76" s="26" t="n">
        <x:v>61.32478791229836</x:v>
      </x:c>
      <x:c r="P76" s="20" t="b">
        <x:v>0</x:v>
      </x:c>
      <x:c r="Q76" s="20" t="b">
        <x:v>1</x:v>
      </x:c>
      <x:c r="R76" s="20" t="b">
        <x:v>0</x:v>
      </x:c>
      <x:c r="S76" s="20" t="b">
        <x:v>1</x:v>
      </x:c>
      <x:c r="T76" s="19" t="str">
        <x:v>active_measured</x:v>
      </x:c>
      <x:c r="U76" s="26" t="n">
        <x:v>0.5</x:v>
      </x:c>
      <x:c r="V76" s="26" t="n">
        <x:v>54.324749207966356</x:v>
      </x:c>
      <x:c r="W76" s="26" t="n">
        <x:v>97.78454857433944</x:v>
      </x:c>
      <x:c r="X76" s="19" t="str">
        <x:v>interior_minimum</x:v>
      </x:c>
      <x:c r="Y76" s="19" t="str">
        <x:v>valid</x:v>
      </x:c>
      <x:c r="Z76" s="24" t="n">
        <x:v>23</x:v>
      </x:c>
      <x:c r="AA76" s="24" t="n">
        <x:v>24</x:v>
      </x:c>
      <x:c r="AB76" s="19" t="str"/>
    </x:row>
    <x:row r="77" ht="15" hidden="0" customHeight="1">
      <x:c r="A77" s="19" t="str">
        <x:v>Eel 13</x:v>
      </x:c>
      <x:c r="B77" s="19" t="str">
        <x:v>E13SW18</x:v>
      </x:c>
      <x:c r="C77" s="19" t="str">
        <x:v>2012-01</x:v>
      </x:c>
      <x:c r="D77" s="19" t="n">
        <x:v>2011</x:v>
      </x:c>
      <x:c r="E77" s="19" t="str">
        <x:v>Y2</x:v>
      </x:c>
      <x:c r="F77" s="19" t="n">
        <x:v>1</x:v>
      </x:c>
      <x:c r="G77" s="19" t="str">
        <x:v>SW18</x:v>
      </x:c>
      <x:c r="H77" s="19" t="str">
        <x:v>Seawater</x:v>
      </x:c>
      <x:c r="I77" s="24" t="n">
        <x:v>18</x:v>
      </x:c>
      <x:c r="J77" s="28" t="n">
        <x:v>79.5</x:v>
      </x:c>
      <x:c r="K77" s="28" t="n">
        <x:v>862</x:v>
      </x:c>
      <x:c r="L77" s="28" t="n">
        <x:v>0.1</x:v>
      </x:c>
      <x:c r="M77" s="26" t="n">
        <x:f>IF(OR(L77="",J77=""),"",L77/(J77/100))</x:f>
        <x:v>0.12578616352201258</x:v>
      </x:c>
      <x:c r="N77" s="26" t="n">
        <x:v>59.325434904988334</x:v>
      </x:c>
      <x:c r="O77" s="26" t="n">
        <x:v>164.7928747360787</x:v>
      </x:c>
      <x:c r="P77" s="20" t="b">
        <x:v>1</x:v>
      </x:c>
      <x:c r="Q77" s="20" t="b">
        <x:v>0</x:v>
      </x:c>
      <x:c r="R77" s="20" t="b">
        <x:v>0</x:v>
      </x:c>
      <x:c r="S77" s="20" t="b">
        <x:v>0</x:v>
      </x:c>
      <x:c r="T77" s="19" t="str">
        <x:v>lowflow_0.1_m_s</x:v>
      </x:c>
      <x:c r="U77" s="26" t="n">
        <x:v>0.6</x:v>
      </x:c>
      <x:c r="V77" s="26" t="n">
        <x:v>50.40420752030172</x:v>
      </x:c>
      <x:c r="W77" s="26" t="n">
        <x:v>108.87308824385171</x:v>
      </x:c>
      <x:c r="X77" s="19" t="str">
        <x:v>highest_observed_speed</x:v>
      </x:c>
      <x:c r="Y77" s="19" t="str">
        <x:v>boundary_estimate</x:v>
      </x:c>
      <x:c r="Z77" s="24" t="n">
        <x:v>24</x:v>
      </x:c>
      <x:c r="AA77" s="24" t="n">
        <x:v>25</x:v>
      </x:c>
      <x:c r="AB77" s="19" t="str"/>
    </x:row>
    <x:row r="78" ht="15" hidden="0" customHeight="1">
      <x:c r="A78" s="19" t="str">
        <x:v>Eel 13</x:v>
      </x:c>
      <x:c r="B78" s="19" t="str">
        <x:v>E13SW18</x:v>
      </x:c>
      <x:c r="C78" s="19" t="str">
        <x:v>2012-01</x:v>
      </x:c>
      <x:c r="D78" s="19" t="n">
        <x:v>2011</x:v>
      </x:c>
      <x:c r="E78" s="19" t="str">
        <x:v>Y2</x:v>
      </x:c>
      <x:c r="F78" s="19" t="n">
        <x:v>1</x:v>
      </x:c>
      <x:c r="G78" s="19" t="str">
        <x:v>SW18</x:v>
      </x:c>
      <x:c r="H78" s="19" t="str">
        <x:v>Seawater</x:v>
      </x:c>
      <x:c r="I78" s="24" t="n">
        <x:v>18</x:v>
      </x:c>
      <x:c r="J78" s="28" t="n">
        <x:v>79.5</x:v>
      </x:c>
      <x:c r="K78" s="28" t="n">
        <x:v>862</x:v>
      </x:c>
      <x:c r="L78" s="28" t="n">
        <x:v>0.4</x:v>
      </x:c>
      <x:c r="M78" s="26" t="n">
        <x:f>IF(OR(L78="",J78=""),"",L78/(J78/100))</x:f>
        <x:v>0.5031446540880503</x:v>
      </x:c>
      <x:c r="N78" s="26" t="n">
        <x:v>80.62890135034817</x:v>
      </x:c>
      <x:c r="O78" s="26" t="n">
        <x:v>55.99229260440845</x:v>
      </x:c>
      <x:c r="P78" s="20" t="b">
        <x:v>0</x:v>
      </x:c>
      <x:c r="Q78" s="20" t="b">
        <x:v>1</x:v>
      </x:c>
      <x:c r="R78" s="20" t="b">
        <x:v>0</x:v>
      </x:c>
      <x:c r="S78" s="20" t="b">
        <x:v>1</x:v>
      </x:c>
      <x:c r="T78" s="19" t="str">
        <x:v>active_measured</x:v>
      </x:c>
      <x:c r="U78" s="26" t="n">
        <x:v>0.6</x:v>
      </x:c>
      <x:c r="V78" s="26" t="n">
        <x:v>50.40420752030172</x:v>
      </x:c>
      <x:c r="W78" s="26" t="n">
        <x:v>108.87308824385171</x:v>
      </x:c>
      <x:c r="X78" s="19" t="str">
        <x:v>highest_observed_speed</x:v>
      </x:c>
      <x:c r="Y78" s="19" t="str">
        <x:v>boundary_estimate</x:v>
      </x:c>
      <x:c r="Z78" s="24" t="n">
        <x:v>24</x:v>
      </x:c>
      <x:c r="AA78" s="24" t="n">
        <x:v>25</x:v>
      </x:c>
      <x:c r="AB78" s="19" t="str"/>
    </x:row>
    <x:row r="79" ht="15" hidden="0" customHeight="1">
      <x:c r="A79" s="19" t="str">
        <x:v>Eel 13</x:v>
      </x:c>
      <x:c r="B79" s="19" t="str">
        <x:v>E13SW18</x:v>
      </x:c>
      <x:c r="C79" s="19" t="str">
        <x:v>2012-01</x:v>
      </x:c>
      <x:c r="D79" s="19" t="n">
        <x:v>2011</x:v>
      </x:c>
      <x:c r="E79" s="19" t="str">
        <x:v>Y2</x:v>
      </x:c>
      <x:c r="F79" s="19" t="n">
        <x:v>1</x:v>
      </x:c>
      <x:c r="G79" s="19" t="str">
        <x:v>SW18</x:v>
      </x:c>
      <x:c r="H79" s="19" t="str">
        <x:v>Seawater</x:v>
      </x:c>
      <x:c r="I79" s="24" t="n">
        <x:v>18</x:v>
      </x:c>
      <x:c r="J79" s="28" t="n">
        <x:v>79.5</x:v>
      </x:c>
      <x:c r="K79" s="28" t="n">
        <x:v>862</x:v>
      </x:c>
      <x:c r="L79" s="28" t="n">
        <x:v>0.5</x:v>
      </x:c>
      <x:c r="M79" s="26" t="n">
        <x:f>IF(OR(L79="",J79=""),"",L79/(J79/100))</x:f>
        <x:v>0.6289308176100629</x:v>
      </x:c>
      <x:c r="N79" s="26" t="n">
        <x:v>96.02176933503465</x:v>
      </x:c>
      <x:c r="O79" s="26" t="n">
        <x:v>53.34542740835258</x:v>
      </x:c>
      <x:c r="P79" s="20" t="b">
        <x:v>0</x:v>
      </x:c>
      <x:c r="Q79" s="20" t="b">
        <x:v>1</x:v>
      </x:c>
      <x:c r="R79" s="20" t="b">
        <x:v>0</x:v>
      </x:c>
      <x:c r="S79" s="20" t="b">
        <x:v>1</x:v>
      </x:c>
      <x:c r="T79" s="19" t="str">
        <x:v>active_measured</x:v>
      </x:c>
      <x:c r="U79" s="26" t="n">
        <x:v>0.6</x:v>
      </x:c>
      <x:c r="V79" s="26" t="n">
        <x:v>50.40420752030172</x:v>
      </x:c>
      <x:c r="W79" s="26" t="n">
        <x:v>108.87308824385171</x:v>
      </x:c>
      <x:c r="X79" s="19" t="str">
        <x:v>highest_observed_speed</x:v>
      </x:c>
      <x:c r="Y79" s="19" t="str">
        <x:v>boundary_estimate</x:v>
      </x:c>
      <x:c r="Z79" s="24" t="n">
        <x:v>24</x:v>
      </x:c>
      <x:c r="AA79" s="24" t="n">
        <x:v>25</x:v>
      </x:c>
      <x:c r="AB79" s="19" t="str"/>
    </x:row>
    <x:row r="80" ht="15" hidden="0" customHeight="1">
      <x:c r="A80" s="19" t="str">
        <x:v>Eel 13</x:v>
      </x:c>
      <x:c r="B80" s="19" t="str">
        <x:v>E13SW18</x:v>
      </x:c>
      <x:c r="C80" s="19" t="str">
        <x:v>2012-01</x:v>
      </x:c>
      <x:c r="D80" s="19" t="n">
        <x:v>2011</x:v>
      </x:c>
      <x:c r="E80" s="19" t="str">
        <x:v>Y2</x:v>
      </x:c>
      <x:c r="F80" s="19" t="n">
        <x:v>1</x:v>
      </x:c>
      <x:c r="G80" s="19" t="str">
        <x:v>SW18</x:v>
      </x:c>
      <x:c r="H80" s="19" t="str">
        <x:v>Seawater</x:v>
      </x:c>
      <x:c r="I80" s="24" t="n">
        <x:v>18</x:v>
      </x:c>
      <x:c r="J80" s="28" t="n">
        <x:v>79.5</x:v>
      </x:c>
      <x:c r="K80" s="28" t="n">
        <x:v>862</x:v>
      </x:c>
      <x:c r="L80" s="28" t="n">
        <x:v>0.6</x:v>
      </x:c>
      <x:c r="M80" s="26" t="n">
        <x:f>IF(OR(L80="",J80=""),"",L80/(J80/100))</x:f>
        <x:v>0.7547169811320754</x:v>
      </x:c>
      <x:c r="N80" s="26" t="n">
        <x:v>108.87308824385171</x:v>
      </x:c>
      <x:c r="O80" s="26" t="n">
        <x:v>50.40420752030172</x:v>
      </x:c>
      <x:c r="P80" s="20" t="b">
        <x:v>0</x:v>
      </x:c>
      <x:c r="Q80" s="20" t="b">
        <x:v>1</x:v>
      </x:c>
      <x:c r="R80" s="20" t="b">
        <x:v>1</x:v>
      </x:c>
      <x:c r="S80" s="20" t="b">
        <x:v>1</x:v>
      </x:c>
      <x:c r="T80" s="19" t="str">
        <x:v>uopt_speed</x:v>
      </x:c>
      <x:c r="U80" s="26" t="n">
        <x:v>0.6</x:v>
      </x:c>
      <x:c r="V80" s="26" t="n">
        <x:v>50.40420752030172</x:v>
      </x:c>
      <x:c r="W80" s="26" t="n">
        <x:v>108.87308824385171</x:v>
      </x:c>
      <x:c r="X80" s="19" t="str">
        <x:v>highest_observed_speed</x:v>
      </x:c>
      <x:c r="Y80" s="19" t="str">
        <x:v>boundary_estimate</x:v>
      </x:c>
      <x:c r="Z80" s="24" t="n">
        <x:v>24</x:v>
      </x:c>
      <x:c r="AA80" s="24" t="n">
        <x:v>25</x:v>
      </x:c>
      <x:c r="AB80" s="19" t="str">
        <x:v>Uopt/minCOT occurs at highest observed speed; treated as boundary_estimate in Table S2.</x:v>
      </x:c>
    </x:row>
    <x:row r="81" ht="15" hidden="0" customHeight="1">
      <x:c r="A81" s="19" t="str">
        <x:v>Eel 14</x:v>
      </x:c>
      <x:c r="B81" s="19" t="str">
        <x:v>E14SW18</x:v>
      </x:c>
      <x:c r="C81" s="19" t="str">
        <x:v>2012-01</x:v>
      </x:c>
      <x:c r="D81" s="19" t="n">
        <x:v>2011</x:v>
      </x:c>
      <x:c r="E81" s="19" t="str">
        <x:v>Y2</x:v>
      </x:c>
      <x:c r="F81" s="19" t="n">
        <x:v>1</x:v>
      </x:c>
      <x:c r="G81" s="19" t="str">
        <x:v>SW18</x:v>
      </x:c>
      <x:c r="H81" s="19" t="str">
        <x:v>Seawater</x:v>
      </x:c>
      <x:c r="I81" s="24" t="n">
        <x:v>18</x:v>
      </x:c>
      <x:c r="J81" s="28" t="n">
        <x:v>77.6</x:v>
      </x:c>
      <x:c r="K81" s="28" t="n">
        <x:v>718</x:v>
      </x:c>
      <x:c r="L81" s="28" t="n">
        <x:v>0.1</x:v>
      </x:c>
      <x:c r="M81" s="26" t="n">
        <x:f>IF(OR(L81="",J81=""),"",L81/(J81/100))</x:f>
        <x:v>0.1288659793814433</x:v>
      </x:c>
      <x:c r="N81" s="26" t="n">
        <x:v>48.33594207325913</x:v>
      </x:c>
      <x:c r="O81" s="26" t="n">
        <x:v>134.26650575905313</x:v>
      </x:c>
      <x:c r="P81" s="20" t="b">
        <x:v>1</x:v>
      </x:c>
      <x:c r="Q81" s="20" t="b">
        <x:v>0</x:v>
      </x:c>
      <x:c r="R81" s="20" t="b">
        <x:v>0</x:v>
      </x:c>
      <x:c r="S81" s="20" t="b">
        <x:v>0</x:v>
      </x:c>
      <x:c r="T81" s="19" t="str">
        <x:v>lowflow_0.1_m_s</x:v>
      </x:c>
      <x:c r="U81" s="26" t="n">
        <x:v>0.4</x:v>
      </x:c>
      <x:c r="V81" s="26" t="n">
        <x:v>45.167619093837054</x:v>
      </x:c>
      <x:c r="W81" s="26" t="n">
        <x:v>65.04137149512536</x:v>
      </x:c>
      <x:c r="X81" s="19" t="str">
        <x:v>lowest_active_speed</x:v>
      </x:c>
      <x:c r="Y81" s="19" t="str">
        <x:v>boundary_estimate</x:v>
      </x:c>
      <x:c r="Z81" s="24" t="n">
        <x:v>25</x:v>
      </x:c>
      <x:c r="AA81" s="24" t="n">
        <x:v>26</x:v>
      </x:c>
      <x:c r="AB81" s="19" t="str"/>
    </x:row>
    <x:row r="82" ht="15" hidden="0" customHeight="1">
      <x:c r="A82" s="19" t="str">
        <x:v>Eel 14</x:v>
      </x:c>
      <x:c r="B82" s="19" t="str">
        <x:v>E14SW18</x:v>
      </x:c>
      <x:c r="C82" s="19" t="str">
        <x:v>2012-01</x:v>
      </x:c>
      <x:c r="D82" s="19" t="n">
        <x:v>2011</x:v>
      </x:c>
      <x:c r="E82" s="19" t="str">
        <x:v>Y2</x:v>
      </x:c>
      <x:c r="F82" s="19" t="n">
        <x:v>1</x:v>
      </x:c>
      <x:c r="G82" s="19" t="str">
        <x:v>SW18</x:v>
      </x:c>
      <x:c r="H82" s="19" t="str">
        <x:v>Seawater</x:v>
      </x:c>
      <x:c r="I82" s="24" t="n">
        <x:v>18</x:v>
      </x:c>
      <x:c r="J82" s="28" t="n">
        <x:v>77.6</x:v>
      </x:c>
      <x:c r="K82" s="28" t="n">
        <x:v>718</x:v>
      </x:c>
      <x:c r="L82" s="28" t="n">
        <x:v>0.4</x:v>
      </x:c>
      <x:c r="M82" s="26" t="n">
        <x:f>IF(OR(L82="",J82=""),"",L82/(J82/100))</x:f>
        <x:v>0.5154639175257733</x:v>
      </x:c>
      <x:c r="N82" s="26" t="n">
        <x:v>65.04137149512536</x:v>
      </x:c>
      <x:c r="O82" s="26" t="n">
        <x:v>45.167619093837054</x:v>
      </x:c>
      <x:c r="P82" s="20" t="b">
        <x:v>0</x:v>
      </x:c>
      <x:c r="Q82" s="20" t="b">
        <x:v>1</x:v>
      </x:c>
      <x:c r="R82" s="20" t="b">
        <x:v>1</x:v>
      </x:c>
      <x:c r="S82" s="20" t="b">
        <x:v>1</x:v>
      </x:c>
      <x:c r="T82" s="19" t="str">
        <x:v>uopt_speed</x:v>
      </x:c>
      <x:c r="U82" s="26" t="n">
        <x:v>0.4</x:v>
      </x:c>
      <x:c r="V82" s="26" t="n">
        <x:v>45.167619093837054</x:v>
      </x:c>
      <x:c r="W82" s="26" t="n">
        <x:v>65.04137149512536</x:v>
      </x:c>
      <x:c r="X82" s="19" t="str">
        <x:v>lowest_active_speed</x:v>
      </x:c>
      <x:c r="Y82" s="19" t="str">
        <x:v>boundary_estimate</x:v>
      </x:c>
      <x:c r="Z82" s="24" t="n">
        <x:v>25</x:v>
      </x:c>
      <x:c r="AA82" s="24" t="n">
        <x:v>26</x:v>
      </x:c>
      <x:c r="AB82" s="19" t="str">
        <x:v>Uopt/minCOT occurs at lowest active speed; treated as boundary_estimate in Table S2.</x:v>
      </x:c>
    </x:row>
    <x:row r="83" ht="15" hidden="0" customHeight="1">
      <x:c r="A83" s="19" t="str">
        <x:v>Eel 14</x:v>
      </x:c>
      <x:c r="B83" s="19" t="str">
        <x:v>E14SW18</x:v>
      </x:c>
      <x:c r="C83" s="19" t="str">
        <x:v>2012-01</x:v>
      </x:c>
      <x:c r="D83" s="19" t="n">
        <x:v>2011</x:v>
      </x:c>
      <x:c r="E83" s="19" t="str">
        <x:v>Y2</x:v>
      </x:c>
      <x:c r="F83" s="19" t="n">
        <x:v>1</x:v>
      </x:c>
      <x:c r="G83" s="19" t="str">
        <x:v>SW18</x:v>
      </x:c>
      <x:c r="H83" s="19" t="str">
        <x:v>Seawater</x:v>
      </x:c>
      <x:c r="I83" s="24" t="n">
        <x:v>18</x:v>
      </x:c>
      <x:c r="J83" s="28" t="n">
        <x:v>77.6</x:v>
      </x:c>
      <x:c r="K83" s="28" t="n">
        <x:v>718</x:v>
      </x:c>
      <x:c r="L83" s="28" t="n">
        <x:v>0.5</x:v>
      </x:c>
      <x:c r="M83" s="26" t="n">
        <x:f>IF(OR(L83="",J83=""),"",L83/(J83/100))</x:f>
        <x:v>0.6443298969072165</x:v>
      </x:c>
      <x:c r="N83" s="26" t="n">
        <x:v>132.39719159164375</x:v>
      </x:c>
      <x:c r="O83" s="26" t="n">
        <x:v>73.55399532869097</x:v>
      </x:c>
      <x:c r="P83" s="20" t="b">
        <x:v>0</x:v>
      </x:c>
      <x:c r="Q83" s="20" t="b">
        <x:v>1</x:v>
      </x:c>
      <x:c r="R83" s="20" t="b">
        <x:v>0</x:v>
      </x:c>
      <x:c r="S83" s="20" t="b">
        <x:v>1</x:v>
      </x:c>
      <x:c r="T83" s="19" t="str">
        <x:v>active_measured</x:v>
      </x:c>
      <x:c r="U83" s="26" t="n">
        <x:v>0.4</x:v>
      </x:c>
      <x:c r="V83" s="26" t="n">
        <x:v>45.167619093837054</x:v>
      </x:c>
      <x:c r="W83" s="26" t="n">
        <x:v>65.04137149512536</x:v>
      </x:c>
      <x:c r="X83" s="19" t="str">
        <x:v>lowest_active_speed</x:v>
      </x:c>
      <x:c r="Y83" s="19" t="str">
        <x:v>boundary_estimate</x:v>
      </x:c>
      <x:c r="Z83" s="24" t="n">
        <x:v>25</x:v>
      </x:c>
      <x:c r="AA83" s="24" t="n">
        <x:v>26</x:v>
      </x:c>
      <x:c r="AB83" s="19" t="str"/>
    </x:row>
    <x:row r="84" ht="15" hidden="0" customHeight="1">
      <x:c r="A84" s="19" t="str">
        <x:v>Eel 14</x:v>
      </x:c>
      <x:c r="B84" s="19" t="str">
        <x:v>E14SW18</x:v>
      </x:c>
      <x:c r="C84" s="19" t="str">
        <x:v>2012-01</x:v>
      </x:c>
      <x:c r="D84" s="19" t="n">
        <x:v>2011</x:v>
      </x:c>
      <x:c r="E84" s="19" t="str">
        <x:v>Y2</x:v>
      </x:c>
      <x:c r="F84" s="19" t="n">
        <x:v>1</x:v>
      </x:c>
      <x:c r="G84" s="19" t="str">
        <x:v>SW18</x:v>
      </x:c>
      <x:c r="H84" s="19" t="str">
        <x:v>Seawater</x:v>
      </x:c>
      <x:c r="I84" s="24" t="n">
        <x:v>18</x:v>
      </x:c>
      <x:c r="J84" s="28" t="n">
        <x:v>77.6</x:v>
      </x:c>
      <x:c r="K84" s="28" t="n">
        <x:v>718</x:v>
      </x:c>
      <x:c r="L84" s="28" t="n">
        <x:v>0.6</x:v>
      </x:c>
      <x:c r="M84" s="26" t="n">
        <x:f>IF(OR(L84="",J84=""),"",L84/(J84/100))</x:f>
        <x:v>0.7731958762886598</x:v>
      </x:c>
      <x:c r="N84" s="26" t="n">
        <x:v>157.0250942072419</x:v>
      </x:c>
      <x:c r="O84" s="26" t="n">
        <x:v>72.69680287372309</x:v>
      </x:c>
      <x:c r="P84" s="20" t="b">
        <x:v>0</x:v>
      </x:c>
      <x:c r="Q84" s="20" t="b">
        <x:v>1</x:v>
      </x:c>
      <x:c r="R84" s="20" t="b">
        <x:v>0</x:v>
      </x:c>
      <x:c r="S84" s="20" t="b">
        <x:v>1</x:v>
      </x:c>
      <x:c r="T84" s="19" t="str">
        <x:v>active_measured</x:v>
      </x:c>
      <x:c r="U84" s="26" t="n">
        <x:v>0.4</x:v>
      </x:c>
      <x:c r="V84" s="26" t="n">
        <x:v>45.167619093837054</x:v>
      </x:c>
      <x:c r="W84" s="26" t="n">
        <x:v>65.04137149512536</x:v>
      </x:c>
      <x:c r="X84" s="19" t="str">
        <x:v>lowest_active_speed</x:v>
      </x:c>
      <x:c r="Y84" s="19" t="str">
        <x:v>boundary_estimate</x:v>
      </x:c>
      <x:c r="Z84" s="24" t="n">
        <x:v>25</x:v>
      </x:c>
      <x:c r="AA84" s="24" t="n">
        <x:v>26</x:v>
      </x:c>
      <x:c r="AB84" s="19" t="str"/>
    </x:row>
    <x:row r="85" ht="15" hidden="0" customHeight="1">
      <x:c r="A85" s="19" t="str">
        <x:v>Eel 15</x:v>
      </x:c>
      <x:c r="B85" s="19" t="str">
        <x:v>E15SW18</x:v>
      </x:c>
      <x:c r="C85" s="19" t="str">
        <x:v>2012-01</x:v>
      </x:c>
      <x:c r="D85" s="19" t="n">
        <x:v>2011</x:v>
      </x:c>
      <x:c r="E85" s="19" t="str">
        <x:v>Y2</x:v>
      </x:c>
      <x:c r="F85" s="19" t="n">
        <x:v>1</x:v>
      </x:c>
      <x:c r="G85" s="19" t="str">
        <x:v>SW18</x:v>
      </x:c>
      <x:c r="H85" s="19" t="str">
        <x:v>Seawater</x:v>
      </x:c>
      <x:c r="I85" s="24" t="n">
        <x:v>18</x:v>
      </x:c>
      <x:c r="J85" s="28" t="n">
        <x:v>78.2</x:v>
      </x:c>
      <x:c r="K85" s="28" t="n">
        <x:v>777</x:v>
      </x:c>
      <x:c r="L85" s="28" t="n">
        <x:v>0.1</x:v>
      </x:c>
      <x:c r="M85" s="26" t="n">
        <x:f>IF(OR(L85="",J85=""),"",L85/(J85/100))</x:f>
        <x:v>0.1278772378516624</x:v>
      </x:c>
      <x:c r="N85" s="26" t="n">
        <x:v>66.98648729820337</x:v>
      </x:c>
      <x:c r="O85" s="26" t="n">
        <x:v>186.07357582834268</x:v>
      </x:c>
      <x:c r="P85" s="20" t="b">
        <x:v>1</x:v>
      </x:c>
      <x:c r="Q85" s="20" t="b">
        <x:v>0</x:v>
      </x:c>
      <x:c r="R85" s="20" t="b">
        <x:v>0</x:v>
      </x:c>
      <x:c r="S85" s="20" t="b">
        <x:v>0</x:v>
      </x:c>
      <x:c r="T85" s="19" t="str">
        <x:v>lowflow_0.1_m_s</x:v>
      </x:c>
      <x:c r="U85" s="26" t="n">
        <x:v>0.4</x:v>
      </x:c>
      <x:c r="V85" s="26" t="n">
        <x:v>55.098437677489564</x:v>
      </x:c>
      <x:c r="W85" s="26" t="n">
        <x:v>79.34175025558498</x:v>
      </x:c>
      <x:c r="X85" s="19" t="str">
        <x:v>lowest_active_speed</x:v>
      </x:c>
      <x:c r="Y85" s="19" t="str">
        <x:v>boundary_estimate</x:v>
      </x:c>
      <x:c r="Z85" s="24" t="n">
        <x:v>26</x:v>
      </x:c>
      <x:c r="AA85" s="24" t="n">
        <x:v>27</x:v>
      </x:c>
      <x:c r="AB85" s="19" t="str"/>
    </x:row>
    <x:row r="86" ht="15" hidden="0" customHeight="1">
      <x:c r="A86" s="19" t="str">
        <x:v>Eel 15</x:v>
      </x:c>
      <x:c r="B86" s="19" t="str">
        <x:v>E15SW18</x:v>
      </x:c>
      <x:c r="C86" s="19" t="str">
        <x:v>2012-01</x:v>
      </x:c>
      <x:c r="D86" s="19" t="n">
        <x:v>2011</x:v>
      </x:c>
      <x:c r="E86" s="19" t="str">
        <x:v>Y2</x:v>
      </x:c>
      <x:c r="F86" s="19" t="n">
        <x:v>1</x:v>
      </x:c>
      <x:c r="G86" s="19" t="str">
        <x:v>SW18</x:v>
      </x:c>
      <x:c r="H86" s="19" t="str">
        <x:v>Seawater</x:v>
      </x:c>
      <x:c r="I86" s="24" t="n">
        <x:v>18</x:v>
      </x:c>
      <x:c r="J86" s="28" t="n">
        <x:v>78.2</x:v>
      </x:c>
      <x:c r="K86" s="28" t="n">
        <x:v>777</x:v>
      </x:c>
      <x:c r="L86" s="28" t="n">
        <x:v>0.4</x:v>
      </x:c>
      <x:c r="M86" s="26" t="n">
        <x:f>IF(OR(L86="",J86=""),"",L86/(J86/100))</x:f>
        <x:v>0.5115089514066496</x:v>
      </x:c>
      <x:c r="N86" s="26" t="n">
        <x:v>79.34175025558498</x:v>
      </x:c>
      <x:c r="O86" s="26" t="n">
        <x:v>55.098437677489564</x:v>
      </x:c>
      <x:c r="P86" s="20" t="b">
        <x:v>0</x:v>
      </x:c>
      <x:c r="Q86" s="20" t="b">
        <x:v>1</x:v>
      </x:c>
      <x:c r="R86" s="20" t="b">
        <x:v>1</x:v>
      </x:c>
      <x:c r="S86" s="20" t="b">
        <x:v>1</x:v>
      </x:c>
      <x:c r="T86" s="19" t="str">
        <x:v>uopt_speed</x:v>
      </x:c>
      <x:c r="U86" s="26" t="n">
        <x:v>0.4</x:v>
      </x:c>
      <x:c r="V86" s="26" t="n">
        <x:v>55.098437677489564</x:v>
      </x:c>
      <x:c r="W86" s="26" t="n">
        <x:v>79.34175025558498</x:v>
      </x:c>
      <x:c r="X86" s="19" t="str">
        <x:v>lowest_active_speed</x:v>
      </x:c>
      <x:c r="Y86" s="19" t="str">
        <x:v>boundary_estimate</x:v>
      </x:c>
      <x:c r="Z86" s="24" t="n">
        <x:v>26</x:v>
      </x:c>
      <x:c r="AA86" s="24" t="n">
        <x:v>27</x:v>
      </x:c>
      <x:c r="AB86" s="19" t="str">
        <x:v>Uopt/minCOT occurs at lowest active speed; treated as boundary_estimate in Table S2.</x:v>
      </x:c>
    </x:row>
    <x:row r="87" ht="15" hidden="0" customHeight="1">
      <x:c r="A87" s="19" t="str">
        <x:v>Eel 15</x:v>
      </x:c>
      <x:c r="B87" s="19" t="str">
        <x:v>E15SW18</x:v>
      </x:c>
      <x:c r="C87" s="19" t="str">
        <x:v>2012-01</x:v>
      </x:c>
      <x:c r="D87" s="19" t="n">
        <x:v>2011</x:v>
      </x:c>
      <x:c r="E87" s="19" t="str">
        <x:v>Y2</x:v>
      </x:c>
      <x:c r="F87" s="19" t="n">
        <x:v>1</x:v>
      </x:c>
      <x:c r="G87" s="19" t="str">
        <x:v>SW18</x:v>
      </x:c>
      <x:c r="H87" s="19" t="str">
        <x:v>Seawater</x:v>
      </x:c>
      <x:c r="I87" s="24" t="n">
        <x:v>18</x:v>
      </x:c>
      <x:c r="J87" s="28" t="n">
        <x:v>78.2</x:v>
      </x:c>
      <x:c r="K87" s="28" t="n">
        <x:v>777</x:v>
      </x:c>
      <x:c r="L87" s="28" t="n">
        <x:v>0.5</x:v>
      </x:c>
      <x:c r="M87" s="26" t="n">
        <x:f>IF(OR(L87="",J87=""),"",L87/(J87/100))</x:f>
        <x:v>0.639386189258312</x:v>
      </x:c>
      <x:c r="N87" s="26" t="n">
        <x:v>106.49360620892762</x:v>
      </x:c>
      <x:c r="O87" s="26" t="n">
        <x:v>59.16311456051534</x:v>
      </x:c>
      <x:c r="P87" s="20" t="b">
        <x:v>0</x:v>
      </x:c>
      <x:c r="Q87" s="20" t="b">
        <x:v>1</x:v>
      </x:c>
      <x:c r="R87" s="20" t="b">
        <x:v>0</x:v>
      </x:c>
      <x:c r="S87" s="20" t="b">
        <x:v>1</x:v>
      </x:c>
      <x:c r="T87" s="19" t="str">
        <x:v>active_measured</x:v>
      </x:c>
      <x:c r="U87" s="26" t="n">
        <x:v>0.4</x:v>
      </x:c>
      <x:c r="V87" s="26" t="n">
        <x:v>55.098437677489564</x:v>
      </x:c>
      <x:c r="W87" s="26" t="n">
        <x:v>79.34175025558498</x:v>
      </x:c>
      <x:c r="X87" s="19" t="str">
        <x:v>lowest_active_speed</x:v>
      </x:c>
      <x:c r="Y87" s="19" t="str">
        <x:v>boundary_estimate</x:v>
      </x:c>
      <x:c r="Z87" s="24" t="n">
        <x:v>26</x:v>
      </x:c>
      <x:c r="AA87" s="24" t="n">
        <x:v>27</x:v>
      </x:c>
      <x:c r="AB87" s="19" t="str"/>
    </x:row>
    <x:row r="88" ht="15" hidden="0" customHeight="1">
      <x:c r="A88" s="19" t="str">
        <x:v>Eel 15</x:v>
      </x:c>
      <x:c r="B88" s="19" t="str">
        <x:v>E15SW18</x:v>
      </x:c>
      <x:c r="C88" s="19" t="str">
        <x:v>2012-01</x:v>
      </x:c>
      <x:c r="D88" s="19" t="n">
        <x:v>2011</x:v>
      </x:c>
      <x:c r="E88" s="19" t="str">
        <x:v>Y2</x:v>
      </x:c>
      <x:c r="F88" s="19" t="n">
        <x:v>1</x:v>
      </x:c>
      <x:c r="G88" s="19" t="str">
        <x:v>SW18</x:v>
      </x:c>
      <x:c r="H88" s="19" t="str">
        <x:v>Seawater</x:v>
      </x:c>
      <x:c r="I88" s="24" t="n">
        <x:v>18</x:v>
      </x:c>
      <x:c r="J88" s="28" t="n">
        <x:v>78.2</x:v>
      </x:c>
      <x:c r="K88" s="28" t="n">
        <x:v>777</x:v>
      </x:c>
      <x:c r="L88" s="28" t="n">
        <x:v>0.6</x:v>
      </x:c>
      <x:c r="M88" s="26" t="n">
        <x:f>IF(OR(L88="",J88=""),"",L88/(J88/100))</x:f>
        <x:v>0.7672634271099744</x:v>
      </x:c>
      <x:c r="N88" s="26" t="n">
        <x:v>130.1919301506684</x:v>
      </x:c>
      <x:c r="O88" s="26" t="n">
        <x:v>60.27404173642056</x:v>
      </x:c>
      <x:c r="P88" s="20" t="b">
        <x:v>0</x:v>
      </x:c>
      <x:c r="Q88" s="20" t="b">
        <x:v>1</x:v>
      </x:c>
      <x:c r="R88" s="20" t="b">
        <x:v>0</x:v>
      </x:c>
      <x:c r="S88" s="20" t="b">
        <x:v>1</x:v>
      </x:c>
      <x:c r="T88" s="19" t="str">
        <x:v>active_measured</x:v>
      </x:c>
      <x:c r="U88" s="26" t="n">
        <x:v>0.4</x:v>
      </x:c>
      <x:c r="V88" s="26" t="n">
        <x:v>55.098437677489564</x:v>
      </x:c>
      <x:c r="W88" s="26" t="n">
        <x:v>79.34175025558498</x:v>
      </x:c>
      <x:c r="X88" s="19" t="str">
        <x:v>lowest_active_speed</x:v>
      </x:c>
      <x:c r="Y88" s="19" t="str">
        <x:v>boundary_estimate</x:v>
      </x:c>
      <x:c r="Z88" s="24" t="n">
        <x:v>26</x:v>
      </x:c>
      <x:c r="AA88" s="24" t="n">
        <x:v>27</x:v>
      </x:c>
      <x:c r="AB88" s="19" t="str"/>
    </x:row>
    <x:row r="89" ht="15" hidden="0" customHeight="1">
      <x:c r="A89" s="19" t="str">
        <x:v>Eel 16</x:v>
      </x:c>
      <x:c r="B89" s="19" t="str">
        <x:v>E16SW18</x:v>
      </x:c>
      <x:c r="C89" s="19" t="str">
        <x:v>2012-01</x:v>
      </x:c>
      <x:c r="D89" s="19" t="n">
        <x:v>2011</x:v>
      </x:c>
      <x:c r="E89" s="19" t="str">
        <x:v>Y2</x:v>
      </x:c>
      <x:c r="F89" s="19" t="n">
        <x:v>1</x:v>
      </x:c>
      <x:c r="G89" s="19" t="str">
        <x:v>SW18</x:v>
      </x:c>
      <x:c r="H89" s="19" t="str">
        <x:v>Seawater</x:v>
      </x:c>
      <x:c r="I89" s="24" t="n">
        <x:v>18</x:v>
      </x:c>
      <x:c r="J89" s="28" t="n">
        <x:v>73</x:v>
      </x:c>
      <x:c r="K89" s="28" t="n">
        <x:v>615</x:v>
      </x:c>
      <x:c r="L89" s="28" t="n">
        <x:v>0.1</x:v>
      </x:c>
      <x:c r="M89" s="26" t="n">
        <x:f>IF(OR(L89="",J89=""),"",L89/(J89/100))</x:f>
        <x:v>0.13698630136986303</x:v>
      </x:c>
      <x:c r="N89" s="26" t="n">
        <x:v>61.19018093755778</x:v>
      </x:c>
      <x:c r="O89" s="26" t="n">
        <x:v>169.97272482654935</x:v>
      </x:c>
      <x:c r="P89" s="20" t="b">
        <x:v>1</x:v>
      </x:c>
      <x:c r="Q89" s="20" t="b">
        <x:v>0</x:v>
      </x:c>
      <x:c r="R89" s="20" t="b">
        <x:v>0</x:v>
      </x:c>
      <x:c r="S89" s="20" t="b">
        <x:v>0</x:v>
      </x:c>
      <x:c r="T89" s="19" t="str">
        <x:v>lowflow_0.1_m_s</x:v>
      </x:c>
      <x:c r="U89" s="26" t="n">
        <x:v>0.5</x:v>
      </x:c>
      <x:c r="V89" s="26" t="n">
        <x:v>46.823101706710176</x:v>
      </x:c>
      <x:c r="W89" s="26" t="n">
        <x:v>84.28158307207832</x:v>
      </x:c>
      <x:c r="X89" s="19" t="str">
        <x:v>interior_minimum</x:v>
      </x:c>
      <x:c r="Y89" s="19" t="str">
        <x:v>valid</x:v>
      </x:c>
      <x:c r="Z89" s="24" t="n">
        <x:v>27</x:v>
      </x:c>
      <x:c r="AA89" s="24" t="n">
        <x:v>28</x:v>
      </x:c>
      <x:c r="AB89" s="19" t="str"/>
    </x:row>
    <x:row r="90" ht="15" hidden="0" customHeight="1">
      <x:c r="A90" s="19" t="str">
        <x:v>Eel 16</x:v>
      </x:c>
      <x:c r="B90" s="19" t="str">
        <x:v>E16SW18</x:v>
      </x:c>
      <x:c r="C90" s="19" t="str">
        <x:v>2012-01</x:v>
      </x:c>
      <x:c r="D90" s="19" t="n">
        <x:v>2011</x:v>
      </x:c>
      <x:c r="E90" s="19" t="str">
        <x:v>Y2</x:v>
      </x:c>
      <x:c r="F90" s="19" t="n">
        <x:v>1</x:v>
      </x:c>
      <x:c r="G90" s="19" t="str">
        <x:v>SW18</x:v>
      </x:c>
      <x:c r="H90" s="19" t="str">
        <x:v>Seawater</x:v>
      </x:c>
      <x:c r="I90" s="24" t="n">
        <x:v>18</x:v>
      </x:c>
      <x:c r="J90" s="28" t="n">
        <x:v>73</x:v>
      </x:c>
      <x:c r="K90" s="28" t="n">
        <x:v>615</x:v>
      </x:c>
      <x:c r="L90" s="28" t="n">
        <x:v>0.4</x:v>
      </x:c>
      <x:c r="M90" s="26" t="n">
        <x:f>IF(OR(L90="",J90=""),"",L90/(J90/100))</x:f>
        <x:v>0.5479452054794521</x:v>
      </x:c>
      <x:c r="N90" s="26" t="n">
        <x:v>85.22179116910156</x:v>
      </x:c>
      <x:c r="O90" s="26" t="n">
        <x:v>59.18179942298719</x:v>
      </x:c>
      <x:c r="P90" s="20" t="b">
        <x:v>0</x:v>
      </x:c>
      <x:c r="Q90" s="20" t="b">
        <x:v>1</x:v>
      </x:c>
      <x:c r="R90" s="20" t="b">
        <x:v>0</x:v>
      </x:c>
      <x:c r="S90" s="20" t="b">
        <x:v>1</x:v>
      </x:c>
      <x:c r="T90" s="19" t="str">
        <x:v>active_measured</x:v>
      </x:c>
      <x:c r="U90" s="26" t="n">
        <x:v>0.5</x:v>
      </x:c>
      <x:c r="V90" s="26" t="n">
        <x:v>46.823101706710176</x:v>
      </x:c>
      <x:c r="W90" s="26" t="n">
        <x:v>84.28158307207832</x:v>
      </x:c>
      <x:c r="X90" s="19" t="str">
        <x:v>interior_minimum</x:v>
      </x:c>
      <x:c r="Y90" s="19" t="str">
        <x:v>valid</x:v>
      </x:c>
      <x:c r="Z90" s="24" t="n">
        <x:v>27</x:v>
      </x:c>
      <x:c r="AA90" s="24" t="n">
        <x:v>28</x:v>
      </x:c>
      <x:c r="AB90" s="19" t="str"/>
    </x:row>
    <x:row r="91" ht="15" hidden="0" customHeight="1">
      <x:c r="A91" s="19" t="str">
        <x:v>Eel 16</x:v>
      </x:c>
      <x:c r="B91" s="19" t="str">
        <x:v>E16SW18</x:v>
      </x:c>
      <x:c r="C91" s="19" t="str">
        <x:v>2012-01</x:v>
      </x:c>
      <x:c r="D91" s="19" t="n">
        <x:v>2011</x:v>
      </x:c>
      <x:c r="E91" s="19" t="str">
        <x:v>Y2</x:v>
      </x:c>
      <x:c r="F91" s="19" t="n">
        <x:v>1</x:v>
      </x:c>
      <x:c r="G91" s="19" t="str">
        <x:v>SW18</x:v>
      </x:c>
      <x:c r="H91" s="19" t="str">
        <x:v>Seawater</x:v>
      </x:c>
      <x:c r="I91" s="24" t="n">
        <x:v>18</x:v>
      </x:c>
      <x:c r="J91" s="28" t="n">
        <x:v>73</x:v>
      </x:c>
      <x:c r="K91" s="28" t="n">
        <x:v>615</x:v>
      </x:c>
      <x:c r="L91" s="28" t="n">
        <x:v>0.5</x:v>
      </x:c>
      <x:c r="M91" s="26" t="n">
        <x:f>IF(OR(L91="",J91=""),"",L91/(J91/100))</x:f>
        <x:v>0.684931506849315</x:v>
      </x:c>
      <x:c r="N91" s="26" t="n">
        <x:v>84.28158307207832</x:v>
      </x:c>
      <x:c r="O91" s="26" t="n">
        <x:v>46.823101706710176</x:v>
      </x:c>
      <x:c r="P91" s="20" t="b">
        <x:v>0</x:v>
      </x:c>
      <x:c r="Q91" s="20" t="b">
        <x:v>1</x:v>
      </x:c>
      <x:c r="R91" s="20" t="b">
        <x:v>1</x:v>
      </x:c>
      <x:c r="S91" s="20" t="b">
        <x:v>1</x:v>
      </x:c>
      <x:c r="T91" s="19" t="str">
        <x:v>uopt_speed</x:v>
      </x:c>
      <x:c r="U91" s="26" t="n">
        <x:v>0.5</x:v>
      </x:c>
      <x:c r="V91" s="26" t="n">
        <x:v>46.823101706710176</x:v>
      </x:c>
      <x:c r="W91" s="26" t="n">
        <x:v>84.28158307207832</x:v>
      </x:c>
      <x:c r="X91" s="19" t="str">
        <x:v>interior_minimum</x:v>
      </x:c>
      <x:c r="Y91" s="19" t="str">
        <x:v>valid</x:v>
      </x:c>
      <x:c r="Z91" s="24" t="n">
        <x:v>27</x:v>
      </x:c>
      <x:c r="AA91" s="24" t="n">
        <x:v>28</x:v>
      </x:c>
      <x:c r="AB91" s="19" t="str">
        <x:v>Uopt/minCOT occurs at an interior observed active speed.</x:v>
      </x:c>
    </x:row>
    <x:row r="92" ht="15" hidden="0" customHeight="1">
      <x:c r="A92" s="19" t="str">
        <x:v>Eel 16</x:v>
      </x:c>
      <x:c r="B92" s="19" t="str">
        <x:v>E16SW18</x:v>
      </x:c>
      <x:c r="C92" s="19" t="str">
        <x:v>2012-01</x:v>
      </x:c>
      <x:c r="D92" s="19" t="n">
        <x:v>2011</x:v>
      </x:c>
      <x:c r="E92" s="19" t="str">
        <x:v>Y2</x:v>
      </x:c>
      <x:c r="F92" s="19" t="n">
        <x:v>1</x:v>
      </x:c>
      <x:c r="G92" s="19" t="str">
        <x:v>SW18</x:v>
      </x:c>
      <x:c r="H92" s="19" t="str">
        <x:v>Seawater</x:v>
      </x:c>
      <x:c r="I92" s="24" t="n">
        <x:v>18</x:v>
      </x:c>
      <x:c r="J92" s="28" t="n">
        <x:v>73</x:v>
      </x:c>
      <x:c r="K92" s="28" t="n">
        <x:v>615</x:v>
      </x:c>
      <x:c r="L92" s="28" t="n">
        <x:v>0.6</x:v>
      </x:c>
      <x:c r="M92" s="26" t="n">
        <x:f>IF(OR(L92="",J92=""),"",L92/(J92/100))</x:f>
        <x:v>0.821917808219178</x:v>
      </x:c>
      <x:c r="N92" s="26" t="n">
        <x:v>118.1541127757293</x:v>
      </x:c>
      <x:c r="O92" s="26" t="n">
        <x:v>54.70097813691171</x:v>
      </x:c>
      <x:c r="P92" s="20" t="b">
        <x:v>0</x:v>
      </x:c>
      <x:c r="Q92" s="20" t="b">
        <x:v>1</x:v>
      </x:c>
      <x:c r="R92" s="20" t="b">
        <x:v>0</x:v>
      </x:c>
      <x:c r="S92" s="20" t="b">
        <x:v>1</x:v>
      </x:c>
      <x:c r="T92" s="19" t="str">
        <x:v>active_measured</x:v>
      </x:c>
      <x:c r="U92" s="26" t="n">
        <x:v>0.5</x:v>
      </x:c>
      <x:c r="V92" s="26" t="n">
        <x:v>46.823101706710176</x:v>
      </x:c>
      <x:c r="W92" s="26" t="n">
        <x:v>84.28158307207832</x:v>
      </x:c>
      <x:c r="X92" s="19" t="str">
        <x:v>interior_minimum</x:v>
      </x:c>
      <x:c r="Y92" s="19" t="str">
        <x:v>valid</x:v>
      </x:c>
      <x:c r="Z92" s="24" t="n">
        <x:v>27</x:v>
      </x:c>
      <x:c r="AA92" s="24" t="n">
        <x:v>28</x:v>
      </x:c>
      <x:c r="AB92" s="19" t="str"/>
    </x:row>
    <x:row r="93" ht="15" hidden="0" customHeight="1">
      <x:c r="A93" s="19" t="str">
        <x:v>Eel 16</x:v>
      </x:c>
      <x:c r="B93" s="19" t="str">
        <x:v>E16SW18</x:v>
      </x:c>
      <x:c r="C93" s="19" t="str">
        <x:v>2012-01</x:v>
      </x:c>
      <x:c r="D93" s="19" t="n">
        <x:v>2011</x:v>
      </x:c>
      <x:c r="E93" s="19" t="str">
        <x:v>Y2</x:v>
      </x:c>
      <x:c r="F93" s="19" t="n">
        <x:v>1</x:v>
      </x:c>
      <x:c r="G93" s="19" t="str">
        <x:v>SW18</x:v>
      </x:c>
      <x:c r="H93" s="19" t="str">
        <x:v>Seawater</x:v>
      </x:c>
      <x:c r="I93" s="24" t="n">
        <x:v>18</x:v>
      </x:c>
      <x:c r="J93" s="28" t="n">
        <x:v>73</x:v>
      </x:c>
      <x:c r="K93" s="28" t="n">
        <x:v>615</x:v>
      </x:c>
      <x:c r="L93" s="28" t="n">
        <x:v>0.7</x:v>
      </x:c>
      <x:c r="M93" s="26" t="n">
        <x:f>IF(OR(L93="",J93=""),"",L93/(J93/100))</x:f>
        <x:v>0.958904109589041</x:v>
      </x:c>
      <x:c r="N93" s="26" t="n">
        <x:v>139.2846009311552</x:v>
      </x:c>
      <x:c r="O93" s="26" t="n">
        <x:v>55.2716670361727</x:v>
      </x:c>
      <x:c r="P93" s="20" t="b">
        <x:v>0</x:v>
      </x:c>
      <x:c r="Q93" s="20" t="b">
        <x:v>1</x:v>
      </x:c>
      <x:c r="R93" s="20" t="b">
        <x:v>0</x:v>
      </x:c>
      <x:c r="S93" s="20" t="b">
        <x:v>1</x:v>
      </x:c>
      <x:c r="T93" s="19" t="str">
        <x:v>active_measured</x:v>
      </x:c>
      <x:c r="U93" s="26" t="n">
        <x:v>0.5</x:v>
      </x:c>
      <x:c r="V93" s="26" t="n">
        <x:v>46.823101706710176</x:v>
      </x:c>
      <x:c r="W93" s="26" t="n">
        <x:v>84.28158307207832</x:v>
      </x:c>
      <x:c r="X93" s="19" t="str">
        <x:v>interior_minimum</x:v>
      </x:c>
      <x:c r="Y93" s="19" t="str">
        <x:v>valid</x:v>
      </x:c>
      <x:c r="Z93" s="24" t="n">
        <x:v>27</x:v>
      </x:c>
      <x:c r="AA93" s="24" t="n">
        <x:v>28</x:v>
      </x:c>
      <x:c r="AB93" s="19" t="str"/>
    </x:row>
    <x:row r="94" ht="15" hidden="0" customHeight="1">
      <x:c r="A94" s="19" t="str">
        <x:v>Eel 16</x:v>
      </x:c>
      <x:c r="B94" s="19" t="str">
        <x:v>E16SW18</x:v>
      </x:c>
      <x:c r="C94" s="19" t="str">
        <x:v>2012-01</x:v>
      </x:c>
      <x:c r="D94" s="19" t="n">
        <x:v>2011</x:v>
      </x:c>
      <x:c r="E94" s="19" t="str">
        <x:v>Y2</x:v>
      </x:c>
      <x:c r="F94" s="19" t="n">
        <x:v>1</x:v>
      </x:c>
      <x:c r="G94" s="19" t="str">
        <x:v>SW18</x:v>
      </x:c>
      <x:c r="H94" s="19" t="str">
        <x:v>Seawater</x:v>
      </x:c>
      <x:c r="I94" s="24" t="n">
        <x:v>18</x:v>
      </x:c>
      <x:c r="J94" s="28" t="n">
        <x:v>73</x:v>
      </x:c>
      <x:c r="K94" s="28" t="n">
        <x:v>615</x:v>
      </x:c>
      <x:c r="L94" s="28" t="n">
        <x:v>0.8</x:v>
      </x:c>
      <x:c r="M94" s="26" t="n">
        <x:f>IF(OR(L94="",J94=""),"",L94/(J94/100))</x:f>
        <x:v>1.0958904109589043</x:v>
      </x:c>
      <x:c r="N94" s="26" t="n">
        <x:v>159.43361982855987</x:v>
      </x:c>
      <x:c r="O94" s="26" t="n">
        <x:v>55.35889577380551</x:v>
      </x:c>
      <x:c r="P94" s="20" t="b">
        <x:v>0</x:v>
      </x:c>
      <x:c r="Q94" s="20" t="b">
        <x:v>1</x:v>
      </x:c>
      <x:c r="R94" s="20" t="b">
        <x:v>0</x:v>
      </x:c>
      <x:c r="S94" s="20" t="b">
        <x:v>1</x:v>
      </x:c>
      <x:c r="T94" s="19" t="str">
        <x:v>active_measured</x:v>
      </x:c>
      <x:c r="U94" s="26" t="n">
        <x:v>0.5</x:v>
      </x:c>
      <x:c r="V94" s="26" t="n">
        <x:v>46.823101706710176</x:v>
      </x:c>
      <x:c r="W94" s="26" t="n">
        <x:v>84.28158307207832</x:v>
      </x:c>
      <x:c r="X94" s="19" t="str">
        <x:v>interior_minimum</x:v>
      </x:c>
      <x:c r="Y94" s="19" t="str">
        <x:v>valid</x:v>
      </x:c>
      <x:c r="Z94" s="24" t="n">
        <x:v>27</x:v>
      </x:c>
      <x:c r="AA94" s="24" t="n">
        <x:v>28</x:v>
      </x:c>
      <x:c r="AB94" s="19" t="str"/>
    </x:row>
    <x:row r="95" ht="15" hidden="0" customHeight="1">
      <x:c r="A95" s="19" t="str">
        <x:v>Eel 16</x:v>
      </x:c>
      <x:c r="B95" s="19" t="str">
        <x:v>E16SW18</x:v>
      </x:c>
      <x:c r="C95" s="19" t="str">
        <x:v>2012-01</x:v>
      </x:c>
      <x:c r="D95" s="19" t="n">
        <x:v>2011</x:v>
      </x:c>
      <x:c r="E95" s="19" t="str">
        <x:v>Y2</x:v>
      </x:c>
      <x:c r="F95" s="19" t="n">
        <x:v>1</x:v>
      </x:c>
      <x:c r="G95" s="19" t="str">
        <x:v>SW18</x:v>
      </x:c>
      <x:c r="H95" s="19" t="str">
        <x:v>Seawater</x:v>
      </x:c>
      <x:c r="I95" s="24" t="n">
        <x:v>18</x:v>
      </x:c>
      <x:c r="J95" s="28" t="n">
        <x:v>73</x:v>
      </x:c>
      <x:c r="K95" s="28" t="n">
        <x:v>615</x:v>
      </x:c>
      <x:c r="L95" s="28" t="n">
        <x:v>0.9</x:v>
      </x:c>
      <x:c r="M95" s="26" t="n">
        <x:f>IF(OR(L95="",J95=""),"",L95/(J95/100))</x:f>
        <x:v>1.2328767123287672</x:v>
      </x:c>
      <x:c r="N95" s="26" t="n">
        <x:v>184.62005358553077</x:v>
      </x:c>
      <x:c r="O95" s="26" t="n">
        <x:v>56.981498020225544</x:v>
      </x:c>
      <x:c r="P95" s="20" t="b">
        <x:v>0</x:v>
      </x:c>
      <x:c r="Q95" s="20" t="b">
        <x:v>1</x:v>
      </x:c>
      <x:c r="R95" s="20" t="b">
        <x:v>0</x:v>
      </x:c>
      <x:c r="S95" s="20" t="b">
        <x:v>1</x:v>
      </x:c>
      <x:c r="T95" s="19" t="str">
        <x:v>active_measured</x:v>
      </x:c>
      <x:c r="U95" s="26" t="n">
        <x:v>0.5</x:v>
      </x:c>
      <x:c r="V95" s="26" t="n">
        <x:v>46.823101706710176</x:v>
      </x:c>
      <x:c r="W95" s="26" t="n">
        <x:v>84.28158307207832</x:v>
      </x:c>
      <x:c r="X95" s="19" t="str">
        <x:v>interior_minimum</x:v>
      </x:c>
      <x:c r="Y95" s="19" t="str">
        <x:v>valid</x:v>
      </x:c>
      <x:c r="Z95" s="24" t="n">
        <x:v>27</x:v>
      </x:c>
      <x:c r="AA95" s="24" t="n">
        <x:v>28</x:v>
      </x:c>
      <x:c r="AB95" s="19" t="str"/>
    </x:row>
    <x:row r="96" ht="15" hidden="0" customHeight="1">
      <x:c r="A96" s="19" t="str">
        <x:v>Eel 17</x:v>
      </x:c>
      <x:c r="B96" s="19" t="str">
        <x:v>E17SW18</x:v>
      </x:c>
      <x:c r="C96" s="19" t="str">
        <x:v>2012-01</x:v>
      </x:c>
      <x:c r="D96" s="19" t="n">
        <x:v>2011</x:v>
      </x:c>
      <x:c r="E96" s="19" t="str">
        <x:v>Y2</x:v>
      </x:c>
      <x:c r="F96" s="19" t="n">
        <x:v>1</x:v>
      </x:c>
      <x:c r="G96" s="19" t="str">
        <x:v>SW18</x:v>
      </x:c>
      <x:c r="H96" s="19" t="str">
        <x:v>Seawater</x:v>
      </x:c>
      <x:c r="I96" s="24" t="n">
        <x:v>18</x:v>
      </x:c>
      <x:c r="J96" s="28" t="n">
        <x:v>70</x:v>
      </x:c>
      <x:c r="K96" s="28" t="n">
        <x:v>529</x:v>
      </x:c>
      <x:c r="L96" s="28" t="n">
        <x:v>0.1</x:v>
      </x:c>
      <x:c r="M96" s="26" t="n">
        <x:f>IF(OR(L96="",J96=""),"",L96/(J96/100))</x:f>
        <x:v>0.14285714285714288</x:v>
      </x:c>
      <x:c r="N96" s="26" t="n">
        <x:v>68.09807774634166</x:v>
      </x:c>
      <x:c r="O96" s="26" t="n">
        <x:v>189.16132707317126</x:v>
      </x:c>
      <x:c r="P96" s="20" t="b">
        <x:v>1</x:v>
      </x:c>
      <x:c r="Q96" s="20" t="b">
        <x:v>0</x:v>
      </x:c>
      <x:c r="R96" s="20" t="b">
        <x:v>0</x:v>
      </x:c>
      <x:c r="S96" s="20" t="b">
        <x:v>0</x:v>
      </x:c>
      <x:c r="T96" s="19" t="str">
        <x:v>lowflow_0.1_m_s</x:v>
      </x:c>
      <x:c r="U96" s="26" t="n">
        <x:v>0.5</x:v>
      </x:c>
      <x:c r="V96" s="26" t="n">
        <x:v>58.75375228292684</x:v>
      </x:c>
      <x:c r="W96" s="26" t="n">
        <x:v>105.75675410926831</x:v>
      </x:c>
      <x:c r="X96" s="19" t="str">
        <x:v>interior_minimum</x:v>
      </x:c>
      <x:c r="Y96" s="19" t="str">
        <x:v>valid</x:v>
      </x:c>
      <x:c r="Z96" s="24" t="n">
        <x:v>28</x:v>
      </x:c>
      <x:c r="AA96" s="24" t="n">
        <x:v>29</x:v>
      </x:c>
      <x:c r="AB96" s="19" t="str"/>
    </x:row>
    <x:row r="97" ht="15" hidden="0" customHeight="1">
      <x:c r="A97" s="19" t="str">
        <x:v>Eel 17</x:v>
      </x:c>
      <x:c r="B97" s="19" t="str">
        <x:v>E17SW18</x:v>
      </x:c>
      <x:c r="C97" s="19" t="str">
        <x:v>2012-01</x:v>
      </x:c>
      <x:c r="D97" s="19" t="n">
        <x:v>2011</x:v>
      </x:c>
      <x:c r="E97" s="19" t="str">
        <x:v>Y2</x:v>
      </x:c>
      <x:c r="F97" s="19" t="n">
        <x:v>1</x:v>
      </x:c>
      <x:c r="G97" s="19" t="str">
        <x:v>SW18</x:v>
      </x:c>
      <x:c r="H97" s="19" t="str">
        <x:v>Seawater</x:v>
      </x:c>
      <x:c r="I97" s="24" t="n">
        <x:v>18</x:v>
      </x:c>
      <x:c r="J97" s="28" t="n">
        <x:v>70</x:v>
      </x:c>
      <x:c r="K97" s="28" t="n">
        <x:v>529</x:v>
      </x:c>
      <x:c r="L97" s="28" t="n">
        <x:v>0.4</x:v>
      </x:c>
      <x:c r="M97" s="26" t="n">
        <x:f>IF(OR(L97="",J97=""),"",L97/(J97/100))</x:f>
        <x:v>0.5714285714285715</x:v>
      </x:c>
      <x:c r="N97" s="26" t="n">
        <x:v>92.73835879024377</x:v>
      </x:c>
      <x:c r="O97" s="26" t="n">
        <x:v>64.40163804878038</x:v>
      </x:c>
      <x:c r="P97" s="20" t="b">
        <x:v>0</x:v>
      </x:c>
      <x:c r="Q97" s="20" t="b">
        <x:v>1</x:v>
      </x:c>
      <x:c r="R97" s="20" t="b">
        <x:v>0</x:v>
      </x:c>
      <x:c r="S97" s="20" t="b">
        <x:v>1</x:v>
      </x:c>
      <x:c r="T97" s="19" t="str">
        <x:v>active_measured</x:v>
      </x:c>
      <x:c r="U97" s="26" t="n">
        <x:v>0.5</x:v>
      </x:c>
      <x:c r="V97" s="26" t="n">
        <x:v>58.75375228292684</x:v>
      </x:c>
      <x:c r="W97" s="26" t="n">
        <x:v>105.75675410926831</x:v>
      </x:c>
      <x:c r="X97" s="19" t="str">
        <x:v>interior_minimum</x:v>
      </x:c>
      <x:c r="Y97" s="19" t="str">
        <x:v>valid</x:v>
      </x:c>
      <x:c r="Z97" s="24" t="n">
        <x:v>28</x:v>
      </x:c>
      <x:c r="AA97" s="24" t="n">
        <x:v>29</x:v>
      </x:c>
      <x:c r="AB97" s="19" t="str"/>
    </x:row>
    <x:row r="98" ht="15" hidden="0" customHeight="1">
      <x:c r="A98" s="19" t="str">
        <x:v>Eel 17</x:v>
      </x:c>
      <x:c r="B98" s="19" t="str">
        <x:v>E17SW18</x:v>
      </x:c>
      <x:c r="C98" s="19" t="str">
        <x:v>2012-01</x:v>
      </x:c>
      <x:c r="D98" s="19" t="n">
        <x:v>2011</x:v>
      </x:c>
      <x:c r="E98" s="19" t="str">
        <x:v>Y2</x:v>
      </x:c>
      <x:c r="F98" s="19" t="n">
        <x:v>1</x:v>
      </x:c>
      <x:c r="G98" s="19" t="str">
        <x:v>SW18</x:v>
      </x:c>
      <x:c r="H98" s="19" t="str">
        <x:v>Seawater</x:v>
      </x:c>
      <x:c r="I98" s="24" t="n">
        <x:v>18</x:v>
      </x:c>
      <x:c r="J98" s="28" t="n">
        <x:v>70</x:v>
      </x:c>
      <x:c r="K98" s="28" t="n">
        <x:v>529</x:v>
      </x:c>
      <x:c r="L98" s="28" t="n">
        <x:v>0.5</x:v>
      </x:c>
      <x:c r="M98" s="26" t="n">
        <x:f>IF(OR(L98="",J98=""),"",L98/(J98/100))</x:f>
        <x:v>0.7142857142857143</x:v>
      </x:c>
      <x:c r="N98" s="26" t="n">
        <x:v>105.75675410926831</x:v>
      </x:c>
      <x:c r="O98" s="26" t="n">
        <x:v>58.75375228292684</x:v>
      </x:c>
      <x:c r="P98" s="20" t="b">
        <x:v>0</x:v>
      </x:c>
      <x:c r="Q98" s="20" t="b">
        <x:v>1</x:v>
      </x:c>
      <x:c r="R98" s="20" t="b">
        <x:v>1</x:v>
      </x:c>
      <x:c r="S98" s="20" t="b">
        <x:v>1</x:v>
      </x:c>
      <x:c r="T98" s="19" t="str">
        <x:v>uopt_speed</x:v>
      </x:c>
      <x:c r="U98" s="26" t="n">
        <x:v>0.5</x:v>
      </x:c>
      <x:c r="V98" s="26" t="n">
        <x:v>58.75375228292684</x:v>
      </x:c>
      <x:c r="W98" s="26" t="n">
        <x:v>105.75675410926831</x:v>
      </x:c>
      <x:c r="X98" s="19" t="str">
        <x:v>interior_minimum</x:v>
      </x:c>
      <x:c r="Y98" s="19" t="str">
        <x:v>valid</x:v>
      </x:c>
      <x:c r="Z98" s="24" t="n">
        <x:v>28</x:v>
      </x:c>
      <x:c r="AA98" s="24" t="n">
        <x:v>29</x:v>
      </x:c>
      <x:c r="AB98" s="19" t="str">
        <x:v>Uopt/minCOT occurs at an interior observed active speed.</x:v>
      </x:c>
    </x:row>
    <x:row r="99" ht="15" hidden="0" customHeight="1">
      <x:c r="A99" s="19" t="str">
        <x:v>Eel 17</x:v>
      </x:c>
      <x:c r="B99" s="19" t="str">
        <x:v>E17SW18</x:v>
      </x:c>
      <x:c r="C99" s="19" t="str">
        <x:v>2012-01</x:v>
      </x:c>
      <x:c r="D99" s="19" t="n">
        <x:v>2011</x:v>
      </x:c>
      <x:c r="E99" s="19" t="str">
        <x:v>Y2</x:v>
      </x:c>
      <x:c r="F99" s="19" t="n">
        <x:v>1</x:v>
      </x:c>
      <x:c r="G99" s="19" t="str">
        <x:v>SW18</x:v>
      </x:c>
      <x:c r="H99" s="19" t="str">
        <x:v>Seawater</x:v>
      </x:c>
      <x:c r="I99" s="24" t="n">
        <x:v>18</x:v>
      </x:c>
      <x:c r="J99" s="28" t="n">
        <x:v>70</x:v>
      </x:c>
      <x:c r="K99" s="28" t="n">
        <x:v>529</x:v>
      </x:c>
      <x:c r="L99" s="28" t="n">
        <x:v>0.6</x:v>
      </x:c>
      <x:c r="M99" s="26" t="n">
        <x:f>IF(OR(L99="",J99=""),"",L99/(J99/100))</x:f>
        <x:v>0.8571428571428572</x:v>
      </x:c>
      <x:c r="N99" s="26" t="n">
        <x:v>168.62379180878034</x:v>
      </x:c>
      <x:c r="O99" s="26" t="n">
        <x:v>78.06657028184274</x:v>
      </x:c>
      <x:c r="P99" s="20" t="b">
        <x:v>0</x:v>
      </x:c>
      <x:c r="Q99" s="20" t="b">
        <x:v>1</x:v>
      </x:c>
      <x:c r="R99" s="20" t="b">
        <x:v>0</x:v>
      </x:c>
      <x:c r="S99" s="20" t="b">
        <x:v>1</x:v>
      </x:c>
      <x:c r="T99" s="19" t="str">
        <x:v>active_measured</x:v>
      </x:c>
      <x:c r="U99" s="26" t="n">
        <x:v>0.5</x:v>
      </x:c>
      <x:c r="V99" s="26" t="n">
        <x:v>58.75375228292684</x:v>
      </x:c>
      <x:c r="W99" s="26" t="n">
        <x:v>105.75675410926831</x:v>
      </x:c>
      <x:c r="X99" s="19" t="str">
        <x:v>interior_minimum</x:v>
      </x:c>
      <x:c r="Y99" s="19" t="str">
        <x:v>valid</x:v>
      </x:c>
      <x:c r="Z99" s="24" t="n">
        <x:v>28</x:v>
      </x:c>
      <x:c r="AA99" s="24" t="n">
        <x:v>29</x:v>
      </x:c>
      <x:c r="AB99" s="19" t="str"/>
    </x:row>
    <x:row r="100" ht="15" hidden="0" customHeight="1">
      <x:c r="A100" s="19" t="str">
        <x:v>Eel 17</x:v>
      </x:c>
      <x:c r="B100" s="19" t="str">
        <x:v>E17SW18</x:v>
      </x:c>
      <x:c r="C100" s="19" t="str">
        <x:v>2012-01</x:v>
      </x:c>
      <x:c r="D100" s="19" t="n">
        <x:v>2011</x:v>
      </x:c>
      <x:c r="E100" s="19" t="str">
        <x:v>Y2</x:v>
      </x:c>
      <x:c r="F100" s="19" t="n">
        <x:v>1</x:v>
      </x:c>
      <x:c r="G100" s="19" t="str">
        <x:v>SW18</x:v>
      </x:c>
      <x:c r="H100" s="19" t="str">
        <x:v>Seawater</x:v>
      </x:c>
      <x:c r="I100" s="24" t="n">
        <x:v>18</x:v>
      </x:c>
      <x:c r="J100" s="28" t="n">
        <x:v>70</x:v>
      </x:c>
      <x:c r="K100" s="28" t="n">
        <x:v>529</x:v>
      </x:c>
      <x:c r="L100" s="28" t="n">
        <x:v>0.7</x:v>
      </x:c>
      <x:c r="M100" s="26" t="n">
        <x:f>IF(OR(L100="",J100=""),"",L100/(J100/100))</x:f>
        <x:v>1</x:v>
      </x:c>
      <x:c r="N100" s="26" t="n">
        <x:v>195.13402494146314</x:v>
      </x:c>
      <x:c r="O100" s="26" t="n">
        <x:v>77.434136881533</x:v>
      </x:c>
      <x:c r="P100" s="20" t="b">
        <x:v>0</x:v>
      </x:c>
      <x:c r="Q100" s="20" t="b">
        <x:v>1</x:v>
      </x:c>
      <x:c r="R100" s="20" t="b">
        <x:v>0</x:v>
      </x:c>
      <x:c r="S100" s="20" t="b">
        <x:v>1</x:v>
      </x:c>
      <x:c r="T100" s="19" t="str">
        <x:v>active_measured</x:v>
      </x:c>
      <x:c r="U100" s="26" t="n">
        <x:v>0.5</x:v>
      </x:c>
      <x:c r="V100" s="26" t="n">
        <x:v>58.75375228292684</x:v>
      </x:c>
      <x:c r="W100" s="26" t="n">
        <x:v>105.75675410926831</x:v>
      </x:c>
      <x:c r="X100" s="19" t="str">
        <x:v>interior_minimum</x:v>
      </x:c>
      <x:c r="Y100" s="19" t="str">
        <x:v>valid</x:v>
      </x:c>
      <x:c r="Z100" s="24" t="n">
        <x:v>28</x:v>
      </x:c>
      <x:c r="AA100" s="24" t="n">
        <x:v>29</x:v>
      </x:c>
      <x:c r="AB100" s="19" t="str"/>
    </x:row>
    <x:row r="101" ht="15" hidden="0" customHeight="1">
      <x:c r="A101" s="19" t="str">
        <x:v>Eel 17</x:v>
      </x:c>
      <x:c r="B101" s="19" t="str">
        <x:v>E17SW18</x:v>
      </x:c>
      <x:c r="C101" s="19" t="str">
        <x:v>2012-01</x:v>
      </x:c>
      <x:c r="D101" s="19" t="n">
        <x:v>2011</x:v>
      </x:c>
      <x:c r="E101" s="19" t="str">
        <x:v>Y2</x:v>
      </x:c>
      <x:c r="F101" s="19" t="n">
        <x:v>1</x:v>
      </x:c>
      <x:c r="G101" s="19" t="str">
        <x:v>SW18</x:v>
      </x:c>
      <x:c r="H101" s="19" t="str">
        <x:v>Seawater</x:v>
      </x:c>
      <x:c r="I101" s="24" t="n">
        <x:v>18</x:v>
      </x:c>
      <x:c r="J101" s="28" t="n">
        <x:v>70</x:v>
      </x:c>
      <x:c r="K101" s="28" t="n">
        <x:v>529</x:v>
      </x:c>
      <x:c r="L101" s="28" t="n">
        <x:v>0.8</x:v>
      </x:c>
      <x:c r="M101" s="26" t="n">
        <x:f>IF(OR(L101="",J101=""),"",L101/(J101/100))</x:f>
        <x:v>1.142857142857143</x:v>
      </x:c>
      <x:c r="N101" s="26" t="n">
        <x:v>201.90357160975597</x:v>
      </x:c>
      <x:c r="O101" s="26" t="n">
        <x:v>70.10540680894304</x:v>
      </x:c>
      <x:c r="P101" s="20" t="b">
        <x:v>0</x:v>
      </x:c>
      <x:c r="Q101" s="20" t="b">
        <x:v>1</x:v>
      </x:c>
      <x:c r="R101" s="20" t="b">
        <x:v>0</x:v>
      </x:c>
      <x:c r="S101" s="20" t="b">
        <x:v>1</x:v>
      </x:c>
      <x:c r="T101" s="19" t="str">
        <x:v>active_measured</x:v>
      </x:c>
      <x:c r="U101" s="26" t="n">
        <x:v>0.5</x:v>
      </x:c>
      <x:c r="V101" s="26" t="n">
        <x:v>58.75375228292684</x:v>
      </x:c>
      <x:c r="W101" s="26" t="n">
        <x:v>105.75675410926831</x:v>
      </x:c>
      <x:c r="X101" s="19" t="str">
        <x:v>interior_minimum</x:v>
      </x:c>
      <x:c r="Y101" s="19" t="str">
        <x:v>valid</x:v>
      </x:c>
      <x:c r="Z101" s="24" t="n">
        <x:v>28</x:v>
      </x:c>
      <x:c r="AA101" s="24" t="n">
        <x:v>29</x:v>
      </x:c>
      <x:c r="AB101" s="19" t="str"/>
    </x:row>
    <x:row r="102" ht="15" hidden="0" customHeight="1">
      <x:c r="A102" s="19" t="str">
        <x:v>Eel 18</x:v>
      </x:c>
      <x:c r="B102" s="19" t="str">
        <x:v>E18SW18</x:v>
      </x:c>
      <x:c r="C102" s="19" t="str">
        <x:v>2012-01</x:v>
      </x:c>
      <x:c r="D102" s="19" t="n">
        <x:v>2011</x:v>
      </x:c>
      <x:c r="E102" s="19" t="str">
        <x:v>S1</x:v>
      </x:c>
      <x:c r="F102" s="19" t="n">
        <x:v>1</x:v>
      </x:c>
      <x:c r="G102" s="19" t="str">
        <x:v>SW18</x:v>
      </x:c>
      <x:c r="H102" s="19" t="str">
        <x:v>Seawater</x:v>
      </x:c>
      <x:c r="I102" s="24" t="n">
        <x:v>18</x:v>
      </x:c>
      <x:c r="J102" s="28" t="n">
        <x:v>78.5</x:v>
      </x:c>
      <x:c r="K102" s="28" t="n">
        <x:v>825</x:v>
      </x:c>
      <x:c r="L102" s="28" t="n">
        <x:v>0.1</x:v>
      </x:c>
      <x:c r="M102" s="26" t="n">
        <x:f>IF(OR(L102="",J102=""),"",L102/(J102/100))</x:f>
        <x:v>0.12738853503184713</x:v>
      </x:c>
      <x:c r="N102" s="26" t="n">
        <x:v>41.50051084276363</x:v>
      </x:c>
      <x:c r="O102" s="26" t="n">
        <x:v>115.27919678545452</x:v>
      </x:c>
      <x:c r="P102" s="20" t="b">
        <x:v>1</x:v>
      </x:c>
      <x:c r="Q102" s="20" t="b">
        <x:v>0</x:v>
      </x:c>
      <x:c r="R102" s="20" t="b">
        <x:v>0</x:v>
      </x:c>
      <x:c r="S102" s="20" t="b">
        <x:v>0</x:v>
      </x:c>
      <x:c r="T102" s="19" t="str">
        <x:v>lowflow_0.1_m_s</x:v>
      </x:c>
      <x:c r="U102" s="26" t="n">
        <x:v>0.4</x:v>
      </x:c>
      <x:c r="V102" s="26" t="n">
        <x:v>55.228150101818116</x:v>
      </x:c>
      <x:c r="W102" s="26" t="n">
        <x:v>79.5285361466181</x:v>
      </x:c>
      <x:c r="X102" s="19" t="str">
        <x:v>lowest_active_speed</x:v>
      </x:c>
      <x:c r="Y102" s="19" t="str">
        <x:v>boundary_estimate</x:v>
      </x:c>
      <x:c r="Z102" s="24" t="n">
        <x:v>29</x:v>
      </x:c>
      <x:c r="AA102" s="24" t="n">
        <x:v>30</x:v>
      </x:c>
      <x:c r="AB102" s="19" t="str"/>
    </x:row>
    <x:row r="103" ht="15" hidden="0" customHeight="1">
      <x:c r="A103" s="19" t="str">
        <x:v>Eel 18</x:v>
      </x:c>
      <x:c r="B103" s="19" t="str">
        <x:v>E18SW18</x:v>
      </x:c>
      <x:c r="C103" s="19" t="str">
        <x:v>2012-01</x:v>
      </x:c>
      <x:c r="D103" s="19" t="n">
        <x:v>2011</x:v>
      </x:c>
      <x:c r="E103" s="19" t="str">
        <x:v>S1</x:v>
      </x:c>
      <x:c r="F103" s="19" t="n">
        <x:v>1</x:v>
      </x:c>
      <x:c r="G103" s="19" t="str">
        <x:v>SW18</x:v>
      </x:c>
      <x:c r="H103" s="19" t="str">
        <x:v>Seawater</x:v>
      </x:c>
      <x:c r="I103" s="24" t="n">
        <x:v>18</x:v>
      </x:c>
      <x:c r="J103" s="28" t="n">
        <x:v>78.5</x:v>
      </x:c>
      <x:c r="K103" s="28" t="n">
        <x:v>825</x:v>
      </x:c>
      <x:c r="L103" s="28" t="n">
        <x:v>0.4</x:v>
      </x:c>
      <x:c r="M103" s="26" t="n">
        <x:f>IF(OR(L103="",J103=""),"",L103/(J103/100))</x:f>
        <x:v>0.5095541401273885</x:v>
      </x:c>
      <x:c r="N103" s="26" t="n">
        <x:v>79.5285361466181</x:v>
      </x:c>
      <x:c r="O103" s="26" t="n">
        <x:v>55.228150101818116</x:v>
      </x:c>
      <x:c r="P103" s="20" t="b">
        <x:v>0</x:v>
      </x:c>
      <x:c r="Q103" s="20" t="b">
        <x:v>1</x:v>
      </x:c>
      <x:c r="R103" s="20" t="b">
        <x:v>1</x:v>
      </x:c>
      <x:c r="S103" s="20" t="b">
        <x:v>1</x:v>
      </x:c>
      <x:c r="T103" s="19" t="str">
        <x:v>uopt_speed</x:v>
      </x:c>
      <x:c r="U103" s="26" t="n">
        <x:v>0.4</x:v>
      </x:c>
      <x:c r="V103" s="26" t="n">
        <x:v>55.228150101818116</x:v>
      </x:c>
      <x:c r="W103" s="26" t="n">
        <x:v>79.5285361466181</x:v>
      </x:c>
      <x:c r="X103" s="19" t="str">
        <x:v>lowest_active_speed</x:v>
      </x:c>
      <x:c r="Y103" s="19" t="str">
        <x:v>boundary_estimate</x:v>
      </x:c>
      <x:c r="Z103" s="24" t="n">
        <x:v>29</x:v>
      </x:c>
      <x:c r="AA103" s="24" t="n">
        <x:v>30</x:v>
      </x:c>
      <x:c r="AB103" s="19" t="str">
        <x:v>Uopt/minCOT occurs at lowest active speed; treated as boundary_estimate in Table S2.</x:v>
      </x:c>
    </x:row>
    <x:row r="104" ht="15" hidden="0" customHeight="1">
      <x:c r="A104" s="19" t="str">
        <x:v>Eel 18</x:v>
      </x:c>
      <x:c r="B104" s="19" t="str">
        <x:v>E18SW18</x:v>
      </x:c>
      <x:c r="C104" s="19" t="str">
        <x:v>2012-01</x:v>
      </x:c>
      <x:c r="D104" s="19" t="n">
        <x:v>2011</x:v>
      </x:c>
      <x:c r="E104" s="19" t="str">
        <x:v>S1</x:v>
      </x:c>
      <x:c r="F104" s="19" t="n">
        <x:v>1</x:v>
      </x:c>
      <x:c r="G104" s="19" t="str">
        <x:v>SW18</x:v>
      </x:c>
      <x:c r="H104" s="19" t="str">
        <x:v>Seawater</x:v>
      </x:c>
      <x:c r="I104" s="24" t="n">
        <x:v>18</x:v>
      </x:c>
      <x:c r="J104" s="28" t="n">
        <x:v>78.5</x:v>
      </x:c>
      <x:c r="K104" s="28" t="n">
        <x:v>825</x:v>
      </x:c>
      <x:c r="L104" s="28" t="n">
        <x:v>0.5</x:v>
      </x:c>
      <x:c r="M104" s="26" t="n">
        <x:f>IF(OR(L104="",J104=""),"",L104/(J104/100))</x:f>
        <x:v>0.6369426751592356</x:v>
      </x:c>
      <x:c r="N104" s="26" t="n">
        <x:v>101.17513909527291</x:v>
      </x:c>
      <x:c r="O104" s="26" t="n">
        <x:v>56.20841060848495</x:v>
      </x:c>
      <x:c r="P104" s="20" t="b">
        <x:v>0</x:v>
      </x:c>
      <x:c r="Q104" s="20" t="b">
        <x:v>1</x:v>
      </x:c>
      <x:c r="R104" s="20" t="b">
        <x:v>0</x:v>
      </x:c>
      <x:c r="S104" s="20" t="b">
        <x:v>1</x:v>
      </x:c>
      <x:c r="T104" s="19" t="str">
        <x:v>active_measured</x:v>
      </x:c>
      <x:c r="U104" s="26" t="n">
        <x:v>0.4</x:v>
      </x:c>
      <x:c r="V104" s="26" t="n">
        <x:v>55.228150101818116</x:v>
      </x:c>
      <x:c r="W104" s="26" t="n">
        <x:v>79.5285361466181</x:v>
      </x:c>
      <x:c r="X104" s="19" t="str">
        <x:v>lowest_active_speed</x:v>
      </x:c>
      <x:c r="Y104" s="19" t="str">
        <x:v>boundary_estimate</x:v>
      </x:c>
      <x:c r="Z104" s="24" t="n">
        <x:v>29</x:v>
      </x:c>
      <x:c r="AA104" s="24" t="n">
        <x:v>30</x:v>
      </x:c>
      <x:c r="AB104" s="19" t="str"/>
    </x:row>
    <x:row r="105" ht="15" hidden="0" customHeight="1">
      <x:c r="A105" s="19" t="str">
        <x:v>Eel 18</x:v>
      </x:c>
      <x:c r="B105" s="19" t="str">
        <x:v>E18SW18</x:v>
      </x:c>
      <x:c r="C105" s="19" t="str">
        <x:v>2012-01</x:v>
      </x:c>
      <x:c r="D105" s="19" t="n">
        <x:v>2011</x:v>
      </x:c>
      <x:c r="E105" s="19" t="str">
        <x:v>S1</x:v>
      </x:c>
      <x:c r="F105" s="19" t="n">
        <x:v>1</x:v>
      </x:c>
      <x:c r="G105" s="19" t="str">
        <x:v>SW18</x:v>
      </x:c>
      <x:c r="H105" s="19" t="str">
        <x:v>Seawater</x:v>
      </x:c>
      <x:c r="I105" s="24" t="n">
        <x:v>18</x:v>
      </x:c>
      <x:c r="J105" s="28" t="n">
        <x:v>78.5</x:v>
      </x:c>
      <x:c r="K105" s="28" t="n">
        <x:v>825</x:v>
      </x:c>
      <x:c r="L105" s="28" t="n">
        <x:v>0.6</x:v>
      </x:c>
      <x:c r="M105" s="26" t="n">
        <x:f>IF(OR(L105="",J105=""),"",L105/(J105/100))</x:f>
        <x:v>0.7643312101910827</x:v>
      </x:c>
      <x:c r="N105" s="26" t="n">
        <x:v>124.2192161280001</x:v>
      </x:c>
      <x:c r="O105" s="26" t="n">
        <x:v>57.5088963555556</x:v>
      </x:c>
      <x:c r="P105" s="20" t="b">
        <x:v>0</x:v>
      </x:c>
      <x:c r="Q105" s="20" t="b">
        <x:v>1</x:v>
      </x:c>
      <x:c r="R105" s="20" t="b">
        <x:v>0</x:v>
      </x:c>
      <x:c r="S105" s="20" t="b">
        <x:v>1</x:v>
      </x:c>
      <x:c r="T105" s="19" t="str">
        <x:v>active_measured</x:v>
      </x:c>
      <x:c r="U105" s="26" t="n">
        <x:v>0.4</x:v>
      </x:c>
      <x:c r="V105" s="26" t="n">
        <x:v>55.228150101818116</x:v>
      </x:c>
      <x:c r="W105" s="26" t="n">
        <x:v>79.5285361466181</x:v>
      </x:c>
      <x:c r="X105" s="19" t="str">
        <x:v>lowest_active_speed</x:v>
      </x:c>
      <x:c r="Y105" s="19" t="str">
        <x:v>boundary_estimate</x:v>
      </x:c>
      <x:c r="Z105" s="24" t="n">
        <x:v>29</x:v>
      </x:c>
      <x:c r="AA105" s="24" t="n">
        <x:v>30</x:v>
      </x:c>
      <x:c r="AB105" s="19" t="str"/>
    </x:row>
    <x:row r="106" ht="15" hidden="0" customHeight="1">
      <x:c r="A106" s="19" t="str">
        <x:v>Eel 18</x:v>
      </x:c>
      <x:c r="B106" s="19" t="str">
        <x:v>E18SW18</x:v>
      </x:c>
      <x:c r="C106" s="19" t="str">
        <x:v>2012-01</x:v>
      </x:c>
      <x:c r="D106" s="19" t="n">
        <x:v>2011</x:v>
      </x:c>
      <x:c r="E106" s="19" t="str">
        <x:v>S1</x:v>
      </x:c>
      <x:c r="F106" s="19" t="n">
        <x:v>1</x:v>
      </x:c>
      <x:c r="G106" s="19" t="str">
        <x:v>SW18</x:v>
      </x:c>
      <x:c r="H106" s="19" t="str">
        <x:v>Seawater</x:v>
      </x:c>
      <x:c r="I106" s="24" t="n">
        <x:v>18</x:v>
      </x:c>
      <x:c r="J106" s="28" t="n">
        <x:v>78.5</x:v>
      </x:c>
      <x:c r="K106" s="28" t="n">
        <x:v>825</x:v>
      </x:c>
      <x:c r="L106" s="28" t="n">
        <x:v>0.7</x:v>
      </x:c>
      <x:c r="M106" s="26" t="n">
        <x:f>IF(OR(L106="",J106=""),"",L106/(J106/100))</x:f>
        <x:v>0.8917197452229298</x:v>
      </x:c>
      <x:c r="N106" s="26" t="n">
        <x:v>150.7040221418184</x:v>
      </x:c>
      <x:c r="O106" s="26" t="n">
        <x:v>59.803183389610474</x:v>
      </x:c>
      <x:c r="P106" s="20" t="b">
        <x:v>0</x:v>
      </x:c>
      <x:c r="Q106" s="20" t="b">
        <x:v>1</x:v>
      </x:c>
      <x:c r="R106" s="20" t="b">
        <x:v>0</x:v>
      </x:c>
      <x:c r="S106" s="20" t="b">
        <x:v>1</x:v>
      </x:c>
      <x:c r="T106" s="19" t="str">
        <x:v>active_measured</x:v>
      </x:c>
      <x:c r="U106" s="26" t="n">
        <x:v>0.4</x:v>
      </x:c>
      <x:c r="V106" s="26" t="n">
        <x:v>55.228150101818116</x:v>
      </x:c>
      <x:c r="W106" s="26" t="n">
        <x:v>79.5285361466181</x:v>
      </x:c>
      <x:c r="X106" s="19" t="str">
        <x:v>lowest_active_speed</x:v>
      </x:c>
      <x:c r="Y106" s="19" t="str">
        <x:v>boundary_estimate</x:v>
      </x:c>
      <x:c r="Z106" s="24" t="n">
        <x:v>29</x:v>
      </x:c>
      <x:c r="AA106" s="24" t="n">
        <x:v>30</x:v>
      </x:c>
      <x:c r="AB106" s="19" t="str"/>
    </x:row>
    <x:row r="107" ht="15" hidden="0" customHeight="1">
      <x:c r="A107" s="19" t="str">
        <x:v>Eel 18</x:v>
      </x:c>
      <x:c r="B107" s="19" t="str">
        <x:v>E18SW18</x:v>
      </x:c>
      <x:c r="C107" s="19" t="str">
        <x:v>2012-01</x:v>
      </x:c>
      <x:c r="D107" s="19" t="n">
        <x:v>2011</x:v>
      </x:c>
      <x:c r="E107" s="19" t="str">
        <x:v>S1</x:v>
      </x:c>
      <x:c r="F107" s="19" t="n">
        <x:v>1</x:v>
      </x:c>
      <x:c r="G107" s="19" t="str">
        <x:v>SW18</x:v>
      </x:c>
      <x:c r="H107" s="19" t="str">
        <x:v>Seawater</x:v>
      </x:c>
      <x:c r="I107" s="24" t="n">
        <x:v>18</x:v>
      </x:c>
      <x:c r="J107" s="28" t="n">
        <x:v>78.5</x:v>
      </x:c>
      <x:c r="K107" s="28" t="n">
        <x:v>825</x:v>
      </x:c>
      <x:c r="L107" s="28" t="n">
        <x:v>0.8</x:v>
      </x:c>
      <x:c r="M107" s="26" t="n">
        <x:f>IF(OR(L107="",J107=""),"",L107/(J107/100))</x:f>
        <x:v>1.019108280254777</x:v>
      </x:c>
      <x:c r="N107" s="26" t="n">
        <x:v>168.91341449890928</x:v>
      </x:c>
      <x:c r="O107" s="26" t="n">
        <x:v>58.6504911454546</x:v>
      </x:c>
      <x:c r="P107" s="20" t="b">
        <x:v>0</x:v>
      </x:c>
      <x:c r="Q107" s="20" t="b">
        <x:v>1</x:v>
      </x:c>
      <x:c r="R107" s="20" t="b">
        <x:v>0</x:v>
      </x:c>
      <x:c r="S107" s="20" t="b">
        <x:v>1</x:v>
      </x:c>
      <x:c r="T107" s="19" t="str">
        <x:v>active_measured</x:v>
      </x:c>
      <x:c r="U107" s="26" t="n">
        <x:v>0.4</x:v>
      </x:c>
      <x:c r="V107" s="26" t="n">
        <x:v>55.228150101818116</x:v>
      </x:c>
      <x:c r="W107" s="26" t="n">
        <x:v>79.5285361466181</x:v>
      </x:c>
      <x:c r="X107" s="19" t="str">
        <x:v>lowest_active_speed</x:v>
      </x:c>
      <x:c r="Y107" s="19" t="str">
        <x:v>boundary_estimate</x:v>
      </x:c>
      <x:c r="Z107" s="24" t="n">
        <x:v>29</x:v>
      </x:c>
      <x:c r="AA107" s="24" t="n">
        <x:v>30</x:v>
      </x:c>
      <x:c r="AB107" s="19" t="str"/>
    </x:row>
    <x:row r="108" ht="15" hidden="0" customHeight="1">
      <x:c r="A108" s="19" t="str">
        <x:v>Eel 18</x:v>
      </x:c>
      <x:c r="B108" s="19" t="str">
        <x:v>E18SW18</x:v>
      </x:c>
      <x:c r="C108" s="19" t="str">
        <x:v>2012-01</x:v>
      </x:c>
      <x:c r="D108" s="19" t="n">
        <x:v>2011</x:v>
      </x:c>
      <x:c r="E108" s="19" t="str">
        <x:v>S1</x:v>
      </x:c>
      <x:c r="F108" s="19" t="n">
        <x:v>1</x:v>
      </x:c>
      <x:c r="G108" s="19" t="str">
        <x:v>SW18</x:v>
      </x:c>
      <x:c r="H108" s="19" t="str">
        <x:v>Seawater</x:v>
      </x:c>
      <x:c r="I108" s="24" t="n">
        <x:v>18</x:v>
      </x:c>
      <x:c r="J108" s="28" t="n">
        <x:v>78.5</x:v>
      </x:c>
      <x:c r="K108" s="28" t="n">
        <x:v>825</x:v>
      </x:c>
      <x:c r="L108" s="28" t="n">
        <x:v>0.9</x:v>
      </x:c>
      <x:c r="M108" s="26" t="n">
        <x:f>IF(OR(L108="",J108=""),"",L108/(J108/100))</x:f>
        <x:v>1.1464968152866242</x:v>
      </x:c>
      <x:c r="N108" s="26" t="n">
        <x:v>206.65561532072766</x:v>
      </x:c>
      <x:c r="O108" s="26" t="n">
        <x:v>63.782597321212236</x:v>
      </x:c>
      <x:c r="P108" s="20" t="b">
        <x:v>0</x:v>
      </x:c>
      <x:c r="Q108" s="20" t="b">
        <x:v>1</x:v>
      </x:c>
      <x:c r="R108" s="20" t="b">
        <x:v>0</x:v>
      </x:c>
      <x:c r="S108" s="20" t="b">
        <x:v>1</x:v>
      </x:c>
      <x:c r="T108" s="19" t="str">
        <x:v>active_measured</x:v>
      </x:c>
      <x:c r="U108" s="26" t="n">
        <x:v>0.4</x:v>
      </x:c>
      <x:c r="V108" s="26" t="n">
        <x:v>55.228150101818116</x:v>
      </x:c>
      <x:c r="W108" s="26" t="n">
        <x:v>79.5285361466181</x:v>
      </x:c>
      <x:c r="X108" s="19" t="str">
        <x:v>lowest_active_speed</x:v>
      </x:c>
      <x:c r="Y108" s="19" t="str">
        <x:v>boundary_estimate</x:v>
      </x:c>
      <x:c r="Z108" s="24" t="n">
        <x:v>29</x:v>
      </x:c>
      <x:c r="AA108" s="24" t="n">
        <x:v>30</x:v>
      </x:c>
      <x:c r="AB108" s="19" t="str"/>
    </x:row>
    <x:row r="109" ht="15" hidden="0" customHeight="1">
      <x:c r="A109" s="19" t="str">
        <x:v>Eel 19</x:v>
      </x:c>
      <x:c r="B109" s="19" t="str">
        <x:v>E19SW18</x:v>
      </x:c>
      <x:c r="C109" s="19" t="str">
        <x:v>2012-01</x:v>
      </x:c>
      <x:c r="D109" s="19" t="n">
        <x:v>2011</x:v>
      </x:c>
      <x:c r="E109" s="19" t="str">
        <x:v>S1</x:v>
      </x:c>
      <x:c r="F109" s="19" t="n">
        <x:v>1</x:v>
      </x:c>
      <x:c r="G109" s="19" t="str">
        <x:v>SW18</x:v>
      </x:c>
      <x:c r="H109" s="19" t="str">
        <x:v>Seawater</x:v>
      </x:c>
      <x:c r="I109" s="24" t="n">
        <x:v>18</x:v>
      </x:c>
      <x:c r="J109" s="28" t="n">
        <x:v>80.3</x:v>
      </x:c>
      <x:c r="K109" s="28" t="n">
        <x:v>914</x:v>
      </x:c>
      <x:c r="L109" s="28" t="n">
        <x:v>0.1</x:v>
      </x:c>
      <x:c r="M109" s="26" t="n">
        <x:f>IF(OR(L109="",J109=""),"",L109/(J109/100))</x:f>
        <x:v>0.12453300124533002</x:v>
      </x:c>
      <x:c r="N109" s="26" t="n">
        <x:v>49.57642077321668</x:v>
      </x:c>
      <x:c r="O109" s="26" t="n">
        <x:v>137.71227992560188</x:v>
      </x:c>
      <x:c r="P109" s="20" t="b">
        <x:v>1</x:v>
      </x:c>
      <x:c r="Q109" s="20" t="b">
        <x:v>0</x:v>
      </x:c>
      <x:c r="R109" s="20" t="b">
        <x:v>0</x:v>
      </x:c>
      <x:c r="S109" s="20" t="b">
        <x:v>0</x:v>
      </x:c>
      <x:c r="T109" s="19" t="str">
        <x:v>lowflow_0.1_m_s</x:v>
      </x:c>
      <x:c r="U109" s="26" t="n">
        <x:v>0.8</x:v>
      </x:c>
      <x:c r="V109" s="26" t="n">
        <x:v>76.86257812294853</x:v>
      </x:c>
      <x:c r="W109" s="26" t="n">
        <x:v>221.36422499409178</x:v>
      </x:c>
      <x:c r="X109" s="19" t="str">
        <x:v>interior_minimum</x:v>
      </x:c>
      <x:c r="Y109" s="19" t="str">
        <x:v>valid</x:v>
      </x:c>
      <x:c r="Z109" s="24" t="n">
        <x:v>30</x:v>
      </x:c>
      <x:c r="AA109" s="24" t="n">
        <x:v>31</x:v>
      </x:c>
      <x:c r="AB109" s="19" t="str"/>
    </x:row>
    <x:row r="110" ht="15" hidden="0" customHeight="1">
      <x:c r="A110" s="19" t="str">
        <x:v>Eel 19</x:v>
      </x:c>
      <x:c r="B110" s="19" t="str">
        <x:v>E19SW18</x:v>
      </x:c>
      <x:c r="C110" s="19" t="str">
        <x:v>2012-01</x:v>
      </x:c>
      <x:c r="D110" s="19" t="n">
        <x:v>2011</x:v>
      </x:c>
      <x:c r="E110" s="19" t="str">
        <x:v>S1</x:v>
      </x:c>
      <x:c r="F110" s="19" t="n">
        <x:v>1</x:v>
      </x:c>
      <x:c r="G110" s="19" t="str">
        <x:v>SW18</x:v>
      </x:c>
      <x:c r="H110" s="19" t="str">
        <x:v>Seawater</x:v>
      </x:c>
      <x:c r="I110" s="24" t="n">
        <x:v>18</x:v>
      </x:c>
      <x:c r="J110" s="28" t="n">
        <x:v>80.3</x:v>
      </x:c>
      <x:c r="K110" s="28" t="n">
        <x:v>914</x:v>
      </x:c>
      <x:c r="L110" s="28" t="n">
        <x:v>0.4</x:v>
      </x:c>
      <x:c r="M110" s="26" t="n">
        <x:f>IF(OR(L110="",J110=""),"",L110/(J110/100))</x:f>
        <x:v>0.4981320049813201</x:v>
      </x:c>
      <x:c r="N110" s="26" t="n">
        <x:v>114.06014817794316</x:v>
      </x:c>
      <x:c r="O110" s="26" t="n">
        <x:v>79.20843623468274</x:v>
      </x:c>
      <x:c r="P110" s="20" t="b">
        <x:v>0</x:v>
      </x:c>
      <x:c r="Q110" s="20" t="b">
        <x:v>1</x:v>
      </x:c>
      <x:c r="R110" s="20" t="b">
        <x:v>0</x:v>
      </x:c>
      <x:c r="S110" s="20" t="b">
        <x:v>1</x:v>
      </x:c>
      <x:c r="T110" s="19" t="str">
        <x:v>active_measured</x:v>
      </x:c>
      <x:c r="U110" s="26" t="n">
        <x:v>0.8</x:v>
      </x:c>
      <x:c r="V110" s="26" t="n">
        <x:v>76.86257812294853</x:v>
      </x:c>
      <x:c r="W110" s="26" t="n">
        <x:v>221.36422499409178</x:v>
      </x:c>
      <x:c r="X110" s="19" t="str">
        <x:v>interior_minimum</x:v>
      </x:c>
      <x:c r="Y110" s="19" t="str">
        <x:v>valid</x:v>
      </x:c>
      <x:c r="Z110" s="24" t="n">
        <x:v>30</x:v>
      </x:c>
      <x:c r="AA110" s="24" t="n">
        <x:v>31</x:v>
      </x:c>
      <x:c r="AB110" s="19" t="str"/>
    </x:row>
    <x:row r="111" ht="15" hidden="0" customHeight="1">
      <x:c r="A111" s="19" t="str">
        <x:v>Eel 19</x:v>
      </x:c>
      <x:c r="B111" s="19" t="str">
        <x:v>E19SW18</x:v>
      </x:c>
      <x:c r="C111" s="19" t="str">
        <x:v>2012-01</x:v>
      </x:c>
      <x:c r="D111" s="19" t="n">
        <x:v>2011</x:v>
      </x:c>
      <x:c r="E111" s="19" t="str">
        <x:v>S1</x:v>
      </x:c>
      <x:c r="F111" s="19" t="n">
        <x:v>1</x:v>
      </x:c>
      <x:c r="G111" s="19" t="str">
        <x:v>SW18</x:v>
      </x:c>
      <x:c r="H111" s="19" t="str">
        <x:v>Seawater</x:v>
      </x:c>
      <x:c r="I111" s="24" t="n">
        <x:v>18</x:v>
      </x:c>
      <x:c r="J111" s="28" t="n">
        <x:v>80.3</x:v>
      </x:c>
      <x:c r="K111" s="28" t="n">
        <x:v>914</x:v>
      </x:c>
      <x:c r="L111" s="28" t="n">
        <x:v>0.5</x:v>
      </x:c>
      <x:c r="M111" s="26" t="n">
        <x:f>IF(OR(L111="",J111=""),"",L111/(J111/100))</x:f>
        <x:v>0.6226650062266501</x:v>
      </x:c>
      <x:c r="N111" s="26" t="n">
        <x:v>200.14996841684888</x:v>
      </x:c>
      <x:c r="O111" s="26" t="n">
        <x:v>111.19442689824938</x:v>
      </x:c>
      <x:c r="P111" s="20" t="b">
        <x:v>0</x:v>
      </x:c>
      <x:c r="Q111" s="20" t="b">
        <x:v>1</x:v>
      </x:c>
      <x:c r="R111" s="20" t="b">
        <x:v>0</x:v>
      </x:c>
      <x:c r="S111" s="20" t="b">
        <x:v>1</x:v>
      </x:c>
      <x:c r="T111" s="19" t="str">
        <x:v>active_measured</x:v>
      </x:c>
      <x:c r="U111" s="26" t="n">
        <x:v>0.8</x:v>
      </x:c>
      <x:c r="V111" s="26" t="n">
        <x:v>76.86257812294853</x:v>
      </x:c>
      <x:c r="W111" s="26" t="n">
        <x:v>221.36422499409178</x:v>
      </x:c>
      <x:c r="X111" s="19" t="str">
        <x:v>interior_minimum</x:v>
      </x:c>
      <x:c r="Y111" s="19" t="str">
        <x:v>valid</x:v>
      </x:c>
      <x:c r="Z111" s="24" t="n">
        <x:v>30</x:v>
      </x:c>
      <x:c r="AA111" s="24" t="n">
        <x:v>31</x:v>
      </x:c>
      <x:c r="AB111" s="19" t="str"/>
    </x:row>
    <x:row r="112" ht="15" hidden="0" customHeight="1">
      <x:c r="A112" s="19" t="str">
        <x:v>Eel 19</x:v>
      </x:c>
      <x:c r="B112" s="19" t="str">
        <x:v>E19SW18</x:v>
      </x:c>
      <x:c r="C112" s="19" t="str">
        <x:v>2012-01</x:v>
      </x:c>
      <x:c r="D112" s="19" t="n">
        <x:v>2011</x:v>
      </x:c>
      <x:c r="E112" s="19" t="str">
        <x:v>S1</x:v>
      </x:c>
      <x:c r="F112" s="19" t="n">
        <x:v>1</x:v>
      </x:c>
      <x:c r="G112" s="19" t="str">
        <x:v>SW18</x:v>
      </x:c>
      <x:c r="H112" s="19" t="str">
        <x:v>Seawater</x:v>
      </x:c>
      <x:c r="I112" s="24" t="n">
        <x:v>18</x:v>
      </x:c>
      <x:c r="J112" s="28" t="n">
        <x:v>80.3</x:v>
      </x:c>
      <x:c r="K112" s="28" t="n">
        <x:v>914</x:v>
      </x:c>
      <x:c r="L112" s="28" t="n">
        <x:v>0.6</x:v>
      </x:c>
      <x:c r="M112" s="26" t="n">
        <x:f>IF(OR(L112="",J112=""),"",L112/(J112/100))</x:f>
        <x:v>0.7471980074719801</x:v>
      </x:c>
      <x:c r="N112" s="26" t="n">
        <x:v>198.66878372954048</x:v>
      </x:c>
      <x:c r="O112" s="26" t="n">
        <x:v>91.97628876367614</x:v>
      </x:c>
      <x:c r="P112" s="20" t="b">
        <x:v>0</x:v>
      </x:c>
      <x:c r="Q112" s="20" t="b">
        <x:v>1</x:v>
      </x:c>
      <x:c r="R112" s="20" t="b">
        <x:v>0</x:v>
      </x:c>
      <x:c r="S112" s="20" t="b">
        <x:v>1</x:v>
      </x:c>
      <x:c r="T112" s="19" t="str">
        <x:v>active_measured</x:v>
      </x:c>
      <x:c r="U112" s="26" t="n">
        <x:v>0.8</x:v>
      </x:c>
      <x:c r="V112" s="26" t="n">
        <x:v>76.86257812294853</x:v>
      </x:c>
      <x:c r="W112" s="26" t="n">
        <x:v>221.36422499409178</x:v>
      </x:c>
      <x:c r="X112" s="19" t="str">
        <x:v>interior_minimum</x:v>
      </x:c>
      <x:c r="Y112" s="19" t="str">
        <x:v>valid</x:v>
      </x:c>
      <x:c r="Z112" s="24" t="n">
        <x:v>30</x:v>
      </x:c>
      <x:c r="AA112" s="24" t="n">
        <x:v>31</x:v>
      </x:c>
      <x:c r="AB112" s="19" t="str"/>
    </x:row>
    <x:row r="113" ht="15" hidden="0" customHeight="1">
      <x:c r="A113" s="19" t="str">
        <x:v>Eel 19</x:v>
      </x:c>
      <x:c r="B113" s="19" t="str">
        <x:v>E19SW18</x:v>
      </x:c>
      <x:c r="C113" s="19" t="str">
        <x:v>2012-01</x:v>
      </x:c>
      <x:c r="D113" s="19" t="n">
        <x:v>2011</x:v>
      </x:c>
      <x:c r="E113" s="19" t="str">
        <x:v>S1</x:v>
      </x:c>
      <x:c r="F113" s="19" t="n">
        <x:v>1</x:v>
      </x:c>
      <x:c r="G113" s="19" t="str">
        <x:v>SW18</x:v>
      </x:c>
      <x:c r="H113" s="19" t="str">
        <x:v>Seawater</x:v>
      </x:c>
      <x:c r="I113" s="24" t="n">
        <x:v>18</x:v>
      </x:c>
      <x:c r="J113" s="28" t="n">
        <x:v>80.3</x:v>
      </x:c>
      <x:c r="K113" s="28" t="n">
        <x:v>914</x:v>
      </x:c>
      <x:c r="L113" s="28" t="n">
        <x:v>0.7</x:v>
      </x:c>
      <x:c r="M113" s="26" t="n">
        <x:f>IF(OR(L113="",J113=""),"",L113/(J113/100))</x:f>
        <x:v>0.8717310087173101</x:v>
      </x:c>
      <x:c r="N113" s="26" t="n">
        <x:v>199.24214704463913</x:v>
      </x:c>
      <x:c r="O113" s="26" t="n">
        <x:v>79.06434406533299</x:v>
      </x:c>
      <x:c r="P113" s="20" t="b">
        <x:v>0</x:v>
      </x:c>
      <x:c r="Q113" s="20" t="b">
        <x:v>1</x:v>
      </x:c>
      <x:c r="R113" s="20" t="b">
        <x:v>0</x:v>
      </x:c>
      <x:c r="S113" s="20" t="b">
        <x:v>1</x:v>
      </x:c>
      <x:c r="T113" s="19" t="str">
        <x:v>active_measured</x:v>
      </x:c>
      <x:c r="U113" s="26" t="n">
        <x:v>0.8</x:v>
      </x:c>
      <x:c r="V113" s="26" t="n">
        <x:v>76.86257812294853</x:v>
      </x:c>
      <x:c r="W113" s="26" t="n">
        <x:v>221.36422499409178</x:v>
      </x:c>
      <x:c r="X113" s="19" t="str">
        <x:v>interior_minimum</x:v>
      </x:c>
      <x:c r="Y113" s="19" t="str">
        <x:v>valid</x:v>
      </x:c>
      <x:c r="Z113" s="24" t="n">
        <x:v>30</x:v>
      </x:c>
      <x:c r="AA113" s="24" t="n">
        <x:v>31</x:v>
      </x:c>
      <x:c r="AB113" s="19" t="str"/>
    </x:row>
    <x:row r="114" ht="15" hidden="0" customHeight="1">
      <x:c r="A114" s="19" t="str">
        <x:v>Eel 19</x:v>
      </x:c>
      <x:c r="B114" s="19" t="str">
        <x:v>E19SW18</x:v>
      </x:c>
      <x:c r="C114" s="19" t="str">
        <x:v>2012-01</x:v>
      </x:c>
      <x:c r="D114" s="19" t="n">
        <x:v>2011</x:v>
      </x:c>
      <x:c r="E114" s="19" t="str">
        <x:v>S1</x:v>
      </x:c>
      <x:c r="F114" s="19" t="n">
        <x:v>1</x:v>
      </x:c>
      <x:c r="G114" s="19" t="str">
        <x:v>SW18</x:v>
      </x:c>
      <x:c r="H114" s="19" t="str">
        <x:v>Seawater</x:v>
      </x:c>
      <x:c r="I114" s="24" t="n">
        <x:v>18</x:v>
      </x:c>
      <x:c r="J114" s="28" t="n">
        <x:v>80.3</x:v>
      </x:c>
      <x:c r="K114" s="28" t="n">
        <x:v>914</x:v>
      </x:c>
      <x:c r="L114" s="28" t="n">
        <x:v>0.8</x:v>
      </x:c>
      <x:c r="M114" s="26" t="n">
        <x:f>IF(OR(L114="",J114=""),"",L114/(J114/100))</x:f>
        <x:v>0.9962640099626402</x:v>
      </x:c>
      <x:c r="N114" s="26" t="n">
        <x:v>221.36422499409178</x:v>
      </x:c>
      <x:c r="O114" s="26" t="n">
        <x:v>76.86257812294853</x:v>
      </x:c>
      <x:c r="P114" s="20" t="b">
        <x:v>0</x:v>
      </x:c>
      <x:c r="Q114" s="20" t="b">
        <x:v>1</x:v>
      </x:c>
      <x:c r="R114" s="20" t="b">
        <x:v>1</x:v>
      </x:c>
      <x:c r="S114" s="20" t="b">
        <x:v>1</x:v>
      </x:c>
      <x:c r="T114" s="19" t="str">
        <x:v>uopt_speed</x:v>
      </x:c>
      <x:c r="U114" s="26" t="n">
        <x:v>0.8</x:v>
      </x:c>
      <x:c r="V114" s="26" t="n">
        <x:v>76.86257812294853</x:v>
      </x:c>
      <x:c r="W114" s="26" t="n">
        <x:v>221.36422499409178</x:v>
      </x:c>
      <x:c r="X114" s="19" t="str">
        <x:v>interior_minimum</x:v>
      </x:c>
      <x:c r="Y114" s="19" t="str">
        <x:v>valid</x:v>
      </x:c>
      <x:c r="Z114" s="24" t="n">
        <x:v>30</x:v>
      </x:c>
      <x:c r="AA114" s="24" t="n">
        <x:v>31</x:v>
      </x:c>
      <x:c r="AB114" s="19" t="str">
        <x:v>Uopt/minCOT occurs at an interior observed active speed.</x:v>
      </x:c>
    </x:row>
    <x:row r="115" ht="15" hidden="0" customHeight="1">
      <x:c r="A115" s="19" t="str">
        <x:v>Eel 19</x:v>
      </x:c>
      <x:c r="B115" s="19" t="str">
        <x:v>E19SW18</x:v>
      </x:c>
      <x:c r="C115" s="19" t="str">
        <x:v>2012-01</x:v>
      </x:c>
      <x:c r="D115" s="19" t="n">
        <x:v>2011</x:v>
      </x:c>
      <x:c r="E115" s="19" t="str">
        <x:v>S1</x:v>
      </x:c>
      <x:c r="F115" s="19" t="n">
        <x:v>1</x:v>
      </x:c>
      <x:c r="G115" s="19" t="str">
        <x:v>SW18</x:v>
      </x:c>
      <x:c r="H115" s="19" t="str">
        <x:v>Seawater</x:v>
      </x:c>
      <x:c r="I115" s="24" t="n">
        <x:v>18</x:v>
      </x:c>
      <x:c r="J115" s="28" t="n">
        <x:v>80.3</x:v>
      </x:c>
      <x:c r="K115" s="28" t="n">
        <x:v>914</x:v>
      </x:c>
      <x:c r="L115" s="28" t="n">
        <x:v>0.9</x:v>
      </x:c>
      <x:c r="M115" s="26" t="n">
        <x:f>IF(OR(L115="",J115=""),"",L115/(J115/100))</x:f>
        <x:v>1.1207970112079702</x:v>
      </x:c>
      <x:c r="N115" s="26" t="n">
        <x:v>251.65667203326046</x:v>
      </x:c>
      <x:c r="O115" s="26" t="n">
        <x:v>77.67181235594458</x:v>
      </x:c>
      <x:c r="P115" s="20" t="b">
        <x:v>0</x:v>
      </x:c>
      <x:c r="Q115" s="20" t="b">
        <x:v>1</x:v>
      </x:c>
      <x:c r="R115" s="20" t="b">
        <x:v>0</x:v>
      </x:c>
      <x:c r="S115" s="20" t="b">
        <x:v>1</x:v>
      </x:c>
      <x:c r="T115" s="19" t="str">
        <x:v>active_measured</x:v>
      </x:c>
      <x:c r="U115" s="26" t="n">
        <x:v>0.8</x:v>
      </x:c>
      <x:c r="V115" s="26" t="n">
        <x:v>76.86257812294853</x:v>
      </x:c>
      <x:c r="W115" s="26" t="n">
        <x:v>221.36422499409178</x:v>
      </x:c>
      <x:c r="X115" s="19" t="str">
        <x:v>interior_minimum</x:v>
      </x:c>
      <x:c r="Y115" s="19" t="str">
        <x:v>valid</x:v>
      </x:c>
      <x:c r="Z115" s="24" t="n">
        <x:v>30</x:v>
      </x:c>
      <x:c r="AA115" s="24" t="n">
        <x:v>31</x:v>
      </x:c>
      <x:c r="AB115" s="19" t="str"/>
    </x:row>
    <x:row r="116" ht="15" hidden="0" customHeight="1">
      <x:c r="A116" s="19" t="str">
        <x:v>Eel 20</x:v>
      </x:c>
      <x:c r="B116" s="19" t="str">
        <x:v>E20SW18</x:v>
      </x:c>
      <x:c r="C116" s="19" t="str">
        <x:v>2012-01</x:v>
      </x:c>
      <x:c r="D116" s="19" t="n">
        <x:v>2011</x:v>
      </x:c>
      <x:c r="E116" s="19" t="str">
        <x:v>S1</x:v>
      </x:c>
      <x:c r="F116" s="19" t="n">
        <x:v>1</x:v>
      </x:c>
      <x:c r="G116" s="19" t="str">
        <x:v>SW18</x:v>
      </x:c>
      <x:c r="H116" s="19" t="str">
        <x:v>Seawater</x:v>
      </x:c>
      <x:c r="I116" s="24" t="n">
        <x:v>18</x:v>
      </x:c>
      <x:c r="J116" s="28" t="n">
        <x:v>77.5</x:v>
      </x:c>
      <x:c r="K116" s="28" t="n">
        <x:v>747</x:v>
      </x:c>
      <x:c r="L116" s="28" t="n">
        <x:v>0.1</x:v>
      </x:c>
      <x:c r="M116" s="26" t="n">
        <x:f>IF(OR(L116="",J116=""),"",L116/(J116/100))</x:f>
        <x:v>0.12903225806451613</x:v>
      </x:c>
      <x:c r="N116" s="26" t="n">
        <x:v>41.979622976024146</x:v>
      </x:c>
      <x:c r="O116" s="26" t="n">
        <x:v>116.61006382228928</x:v>
      </x:c>
      <x:c r="P116" s="20" t="b">
        <x:v>1</x:v>
      </x:c>
      <x:c r="Q116" s="20" t="b">
        <x:v>0</x:v>
      </x:c>
      <x:c r="R116" s="20" t="b">
        <x:v>0</x:v>
      </x:c>
      <x:c r="S116" s="20" t="b">
        <x:v>0</x:v>
      </x:c>
      <x:c r="T116" s="19" t="str">
        <x:v>lowflow_0.1_m_s</x:v>
      </x:c>
      <x:c r="U116" s="26" t="n">
        <x:v>0.6</x:v>
      </x:c>
      <x:c r="V116" s="26" t="n">
        <x:v>45.2423744216867</x:v>
      </x:c>
      <x:c r="W116" s="26" t="n">
        <x:v>97.72352875084327</x:v>
      </x:c>
      <x:c r="X116" s="19" t="str">
        <x:v>interior_minimum</x:v>
      </x:c>
      <x:c r="Y116" s="19" t="str">
        <x:v>valid</x:v>
      </x:c>
      <x:c r="Z116" s="24" t="n">
        <x:v>31</x:v>
      </x:c>
      <x:c r="AA116" s="24" t="n">
        <x:v>32</x:v>
      </x:c>
      <x:c r="AB116" s="19" t="str"/>
    </x:row>
    <x:row r="117" ht="15" hidden="0" customHeight="1">
      <x:c r="A117" s="19" t="str">
        <x:v>Eel 20</x:v>
      </x:c>
      <x:c r="B117" s="19" t="str">
        <x:v>E20SW18</x:v>
      </x:c>
      <x:c r="C117" s="19" t="str">
        <x:v>2012-01</x:v>
      </x:c>
      <x:c r="D117" s="19" t="n">
        <x:v>2011</x:v>
      </x:c>
      <x:c r="E117" s="19" t="str">
        <x:v>S1</x:v>
      </x:c>
      <x:c r="F117" s="19" t="n">
        <x:v>1</x:v>
      </x:c>
      <x:c r="G117" s="19" t="str">
        <x:v>SW18</x:v>
      </x:c>
      <x:c r="H117" s="19" t="str">
        <x:v>Seawater</x:v>
      </x:c>
      <x:c r="I117" s="24" t="n">
        <x:v>18</x:v>
      </x:c>
      <x:c r="J117" s="28" t="n">
        <x:v>77.5</x:v>
      </x:c>
      <x:c r="K117" s="28" t="n">
        <x:v>747</x:v>
      </x:c>
      <x:c r="L117" s="28" t="n">
        <x:v>0.4</x:v>
      </x:c>
      <x:c r="M117" s="26" t="n">
        <x:f>IF(OR(L117="",J117=""),"",L117/(J117/100))</x:f>
        <x:v>0.5161290322580645</x:v>
      </x:c>
      <x:c r="N117" s="26" t="n">
        <x:v>69.85158281783127</x:v>
      </x:c>
      <x:c r="O117" s="26" t="n">
        <x:v>48.50804362349393</x:v>
      </x:c>
      <x:c r="P117" s="20" t="b">
        <x:v>0</x:v>
      </x:c>
      <x:c r="Q117" s="20" t="b">
        <x:v>1</x:v>
      </x:c>
      <x:c r="R117" s="20" t="b">
        <x:v>0</x:v>
      </x:c>
      <x:c r="S117" s="20" t="b">
        <x:v>1</x:v>
      </x:c>
      <x:c r="T117" s="19" t="str">
        <x:v>active_measured</x:v>
      </x:c>
      <x:c r="U117" s="26" t="n">
        <x:v>0.6</x:v>
      </x:c>
      <x:c r="V117" s="26" t="n">
        <x:v>45.2423744216867</x:v>
      </x:c>
      <x:c r="W117" s="26" t="n">
        <x:v>97.72352875084327</x:v>
      </x:c>
      <x:c r="X117" s="19" t="str">
        <x:v>interior_minimum</x:v>
      </x:c>
      <x:c r="Y117" s="19" t="str">
        <x:v>valid</x:v>
      </x:c>
      <x:c r="Z117" s="24" t="n">
        <x:v>31</x:v>
      </x:c>
      <x:c r="AA117" s="24" t="n">
        <x:v>32</x:v>
      </x:c>
      <x:c r="AB117" s="19" t="str"/>
    </x:row>
    <x:row r="118" ht="15" hidden="0" customHeight="1">
      <x:c r="A118" s="19" t="str">
        <x:v>Eel 20</x:v>
      </x:c>
      <x:c r="B118" s="19" t="str">
        <x:v>E20SW18</x:v>
      </x:c>
      <x:c r="C118" s="19" t="str">
        <x:v>2012-01</x:v>
      </x:c>
      <x:c r="D118" s="19" t="n">
        <x:v>2011</x:v>
      </x:c>
      <x:c r="E118" s="19" t="str">
        <x:v>S1</x:v>
      </x:c>
      <x:c r="F118" s="19" t="n">
        <x:v>1</x:v>
      </x:c>
      <x:c r="G118" s="19" t="str">
        <x:v>SW18</x:v>
      </x:c>
      <x:c r="H118" s="19" t="str">
        <x:v>Seawater</x:v>
      </x:c>
      <x:c r="I118" s="24" t="n">
        <x:v>18</x:v>
      </x:c>
      <x:c r="J118" s="28" t="n">
        <x:v>77.5</x:v>
      </x:c>
      <x:c r="K118" s="28" t="n">
        <x:v>747</x:v>
      </x:c>
      <x:c r="L118" s="28" t="n">
        <x:v>0.5</x:v>
      </x:c>
      <x:c r="M118" s="26" t="n">
        <x:f>IF(OR(L118="",J118=""),"",L118/(J118/100))</x:f>
        <x:v>0.6451612903225806</x:v>
      </x:c>
      <x:c r="N118" s="26" t="n">
        <x:v>83.10076729590367</x:v>
      </x:c>
      <x:c r="O118" s="26" t="n">
        <x:v>46.1670929421687</x:v>
      </x:c>
      <x:c r="P118" s="20" t="b">
        <x:v>0</x:v>
      </x:c>
      <x:c r="Q118" s="20" t="b">
        <x:v>1</x:v>
      </x:c>
      <x:c r="R118" s="20" t="b">
        <x:v>0</x:v>
      </x:c>
      <x:c r="S118" s="20" t="b">
        <x:v>1</x:v>
      </x:c>
      <x:c r="T118" s="19" t="str">
        <x:v>active_measured</x:v>
      </x:c>
      <x:c r="U118" s="26" t="n">
        <x:v>0.6</x:v>
      </x:c>
      <x:c r="V118" s="26" t="n">
        <x:v>45.2423744216867</x:v>
      </x:c>
      <x:c r="W118" s="26" t="n">
        <x:v>97.72352875084327</x:v>
      </x:c>
      <x:c r="X118" s="19" t="str">
        <x:v>interior_minimum</x:v>
      </x:c>
      <x:c r="Y118" s="19" t="str">
        <x:v>valid</x:v>
      </x:c>
      <x:c r="Z118" s="24" t="n">
        <x:v>31</x:v>
      </x:c>
      <x:c r="AA118" s="24" t="n">
        <x:v>32</x:v>
      </x:c>
      <x:c r="AB118" s="19" t="str"/>
    </x:row>
    <x:row r="119" ht="15" hidden="0" customHeight="1">
      <x:c r="A119" s="19" t="str">
        <x:v>Eel 20</x:v>
      </x:c>
      <x:c r="B119" s="19" t="str">
        <x:v>E20SW18</x:v>
      </x:c>
      <x:c r="C119" s="19" t="str">
        <x:v>2012-01</x:v>
      </x:c>
      <x:c r="D119" s="19" t="n">
        <x:v>2011</x:v>
      </x:c>
      <x:c r="E119" s="19" t="str">
        <x:v>S1</x:v>
      </x:c>
      <x:c r="F119" s="19" t="n">
        <x:v>1</x:v>
      </x:c>
      <x:c r="G119" s="19" t="str">
        <x:v>SW18</x:v>
      </x:c>
      <x:c r="H119" s="19" t="str">
        <x:v>Seawater</x:v>
      </x:c>
      <x:c r="I119" s="24" t="n">
        <x:v>18</x:v>
      </x:c>
      <x:c r="J119" s="28" t="n">
        <x:v>77.5</x:v>
      </x:c>
      <x:c r="K119" s="28" t="n">
        <x:v>747</x:v>
      </x:c>
      <x:c r="L119" s="28" t="n">
        <x:v>0.6</x:v>
      </x:c>
      <x:c r="M119" s="26" t="n">
        <x:f>IF(OR(L119="",J119=""),"",L119/(J119/100))</x:f>
        <x:v>0.7741935483870968</x:v>
      </x:c>
      <x:c r="N119" s="26" t="n">
        <x:v>97.72352875084327</x:v>
      </x:c>
      <x:c r="O119" s="26" t="n">
        <x:v>45.2423744216867</x:v>
      </x:c>
      <x:c r="P119" s="20" t="b">
        <x:v>0</x:v>
      </x:c>
      <x:c r="Q119" s="20" t="b">
        <x:v>1</x:v>
      </x:c>
      <x:c r="R119" s="20" t="b">
        <x:v>1</x:v>
      </x:c>
      <x:c r="S119" s="20" t="b">
        <x:v>1</x:v>
      </x:c>
      <x:c r="T119" s="19" t="str">
        <x:v>uopt_speed</x:v>
      </x:c>
      <x:c r="U119" s="26" t="n">
        <x:v>0.6</x:v>
      </x:c>
      <x:c r="V119" s="26" t="n">
        <x:v>45.2423744216867</x:v>
      </x:c>
      <x:c r="W119" s="26" t="n">
        <x:v>97.72352875084327</x:v>
      </x:c>
      <x:c r="X119" s="19" t="str">
        <x:v>interior_minimum</x:v>
      </x:c>
      <x:c r="Y119" s="19" t="str">
        <x:v>valid</x:v>
      </x:c>
      <x:c r="Z119" s="24" t="n">
        <x:v>31</x:v>
      </x:c>
      <x:c r="AA119" s="24" t="n">
        <x:v>32</x:v>
      </x:c>
      <x:c r="AB119" s="19" t="str">
        <x:v>Uopt/minCOT occurs at an interior observed active speed.</x:v>
      </x:c>
    </x:row>
    <x:row r="120" ht="15" hidden="0" customHeight="1">
      <x:c r="A120" s="19" t="str">
        <x:v>Eel 20</x:v>
      </x:c>
      <x:c r="B120" s="19" t="str">
        <x:v>E20SW18</x:v>
      </x:c>
      <x:c r="C120" s="19" t="str">
        <x:v>2012-01</x:v>
      </x:c>
      <x:c r="D120" s="19" t="n">
        <x:v>2011</x:v>
      </x:c>
      <x:c r="E120" s="19" t="str">
        <x:v>S1</x:v>
      </x:c>
      <x:c r="F120" s="19" t="n">
        <x:v>1</x:v>
      </x:c>
      <x:c r="G120" s="19" t="str">
        <x:v>SW18</x:v>
      </x:c>
      <x:c r="H120" s="19" t="str">
        <x:v>Seawater</x:v>
      </x:c>
      <x:c r="I120" s="24" t="n">
        <x:v>18</x:v>
      </x:c>
      <x:c r="J120" s="28" t="n">
        <x:v>77.5</x:v>
      </x:c>
      <x:c r="K120" s="28" t="n">
        <x:v>747</x:v>
      </x:c>
      <x:c r="L120" s="28" t="n">
        <x:v>0.7</x:v>
      </x:c>
      <x:c r="M120" s="26" t="n">
        <x:f>IF(OR(L120="",J120=""),"",L120/(J120/100))</x:f>
        <x:v>0.9032258064516128</x:v>
      </x:c>
      <x:c r="N120" s="26" t="n">
        <x:v>115.49404527831301</x:v>
      </x:c>
      <x:c r="O120" s="26" t="n">
        <x:v>45.83097034853691</x:v>
      </x:c>
      <x:c r="P120" s="20" t="b">
        <x:v>0</x:v>
      </x:c>
      <x:c r="Q120" s="20" t="b">
        <x:v>1</x:v>
      </x:c>
      <x:c r="R120" s="20" t="b">
        <x:v>0</x:v>
      </x:c>
      <x:c r="S120" s="20" t="b">
        <x:v>1</x:v>
      </x:c>
      <x:c r="T120" s="19" t="str">
        <x:v>active_measured</x:v>
      </x:c>
      <x:c r="U120" s="26" t="n">
        <x:v>0.6</x:v>
      </x:c>
      <x:c r="V120" s="26" t="n">
        <x:v>45.2423744216867</x:v>
      </x:c>
      <x:c r="W120" s="26" t="n">
        <x:v>97.72352875084327</x:v>
      </x:c>
      <x:c r="X120" s="19" t="str">
        <x:v>interior_minimum</x:v>
      </x:c>
      <x:c r="Y120" s="19" t="str">
        <x:v>valid</x:v>
      </x:c>
      <x:c r="Z120" s="24" t="n">
        <x:v>31</x:v>
      </x:c>
      <x:c r="AA120" s="24" t="n">
        <x:v>32</x:v>
      </x:c>
      <x:c r="AB120" s="19" t="str"/>
    </x:row>
    <x:row r="121" ht="15" hidden="0" customHeight="1">
      <x:c r="A121" s="19" t="str">
        <x:v>Eel 21</x:v>
      </x:c>
      <x:c r="B121" s="19" t="str">
        <x:v>E21SW18</x:v>
      </x:c>
      <x:c r="C121" s="19" t="str">
        <x:v>2012-01</x:v>
      </x:c>
      <x:c r="D121" s="19" t="n">
        <x:v>2011</x:v>
      </x:c>
      <x:c r="E121" s="19" t="str">
        <x:v>S1</x:v>
      </x:c>
      <x:c r="F121" s="19" t="n">
        <x:v>1</x:v>
      </x:c>
      <x:c r="G121" s="19" t="str">
        <x:v>SW18</x:v>
      </x:c>
      <x:c r="H121" s="19" t="str">
        <x:v>Seawater</x:v>
      </x:c>
      <x:c r="I121" s="24" t="n">
        <x:v>18</x:v>
      </x:c>
      <x:c r="J121" s="28" t="n">
        <x:v>73.2</x:v>
      </x:c>
      <x:c r="K121" s="28" t="n">
        <x:v>720</x:v>
      </x:c>
      <x:c r="L121" s="28" t="n">
        <x:v>0.1</x:v>
      </x:c>
      <x:c r="M121" s="26" t="n">
        <x:f>IF(OR(L121="",J121=""),"",L121/(J121/100))</x:f>
        <x:v>0.1366120218579235</x:v>
      </x:c>
      <x:c r="N121" s="26" t="n">
        <x:v>42.235808149500045</x:v>
      </x:c>
      <x:c r="O121" s="26" t="n">
        <x:v>117.32168930416678</x:v>
      </x:c>
      <x:c r="P121" s="20" t="b">
        <x:v>1</x:v>
      </x:c>
      <x:c r="Q121" s="20" t="b">
        <x:v>0</x:v>
      </x:c>
      <x:c r="R121" s="20" t="b">
        <x:v>0</x:v>
      </x:c>
      <x:c r="S121" s="20" t="b">
        <x:v>0</x:v>
      </x:c>
      <x:c r="T121" s="19" t="str">
        <x:v>lowflow_0.1_m_s</x:v>
      </x:c>
      <x:c r="U121" s="26" t="n">
        <x:v>0.6</x:v>
      </x:c>
      <x:c r="V121" s="26" t="n">
        <x:v>43.172180577662026</x:v>
      </x:c>
      <x:c r="W121" s="26" t="n">
        <x:v>93.25191004774999</x:v>
      </x:c>
      <x:c r="X121" s="19" t="str">
        <x:v>interior_minimum</x:v>
      </x:c>
      <x:c r="Y121" s="19" t="str">
        <x:v>valid</x:v>
      </x:c>
      <x:c r="Z121" s="24" t="n">
        <x:v>32</x:v>
      </x:c>
      <x:c r="AA121" s="24" t="n">
        <x:v>33</x:v>
      </x:c>
      <x:c r="AB121" s="19" t="str"/>
    </x:row>
    <x:row r="122" ht="15" hidden="0" customHeight="1">
      <x:c r="A122" s="19" t="str">
        <x:v>Eel 21</x:v>
      </x:c>
      <x:c r="B122" s="19" t="str">
        <x:v>E21SW18</x:v>
      </x:c>
      <x:c r="C122" s="19" t="str">
        <x:v>2012-01</x:v>
      </x:c>
      <x:c r="D122" s="19" t="n">
        <x:v>2011</x:v>
      </x:c>
      <x:c r="E122" s="19" t="str">
        <x:v>S1</x:v>
      </x:c>
      <x:c r="F122" s="19" t="n">
        <x:v>1</x:v>
      </x:c>
      <x:c r="G122" s="19" t="str">
        <x:v>SW18</x:v>
      </x:c>
      <x:c r="H122" s="19" t="str">
        <x:v>Seawater</x:v>
      </x:c>
      <x:c r="I122" s="24" t="n">
        <x:v>18</x:v>
      </x:c>
      <x:c r="J122" s="28" t="n">
        <x:v>73.2</x:v>
      </x:c>
      <x:c r="K122" s="28" t="n">
        <x:v>720</x:v>
      </x:c>
      <x:c r="L122" s="28" t="n">
        <x:v>0.4</x:v>
      </x:c>
      <x:c r="M122" s="26" t="n">
        <x:f>IF(OR(L122="",J122=""),"",L122/(J122/100))</x:f>
        <x:v>0.546448087431694</x:v>
      </x:c>
      <x:c r="N122" s="26" t="n">
        <x:v>78.45808632075014</x:v>
      </x:c>
      <x:c r="O122" s="26" t="n">
        <x:v>54.48478216718759</x:v>
      </x:c>
      <x:c r="P122" s="20" t="b">
        <x:v>0</x:v>
      </x:c>
      <x:c r="Q122" s="20" t="b">
        <x:v>1</x:v>
      </x:c>
      <x:c r="R122" s="20" t="b">
        <x:v>0</x:v>
      </x:c>
      <x:c r="S122" s="20" t="b">
        <x:v>1</x:v>
      </x:c>
      <x:c r="T122" s="19" t="str">
        <x:v>active_measured</x:v>
      </x:c>
      <x:c r="U122" s="26" t="n">
        <x:v>0.6</x:v>
      </x:c>
      <x:c r="V122" s="26" t="n">
        <x:v>43.172180577662026</x:v>
      </x:c>
      <x:c r="W122" s="26" t="n">
        <x:v>93.25191004774999</x:v>
      </x:c>
      <x:c r="X122" s="19" t="str">
        <x:v>interior_minimum</x:v>
      </x:c>
      <x:c r="Y122" s="19" t="str">
        <x:v>valid</x:v>
      </x:c>
      <x:c r="Z122" s="24" t="n">
        <x:v>32</x:v>
      </x:c>
      <x:c r="AA122" s="24" t="n">
        <x:v>33</x:v>
      </x:c>
      <x:c r="AB122" s="19" t="str"/>
    </x:row>
    <x:row r="123" ht="15" hidden="0" customHeight="1">
      <x:c r="A123" s="19" t="str">
        <x:v>Eel 21</x:v>
      </x:c>
      <x:c r="B123" s="19" t="str">
        <x:v>E21SW18</x:v>
      </x:c>
      <x:c r="C123" s="19" t="str">
        <x:v>2012-01</x:v>
      </x:c>
      <x:c r="D123" s="19" t="n">
        <x:v>2011</x:v>
      </x:c>
      <x:c r="E123" s="19" t="str">
        <x:v>S1</x:v>
      </x:c>
      <x:c r="F123" s="19" t="n">
        <x:v>1</x:v>
      </x:c>
      <x:c r="G123" s="19" t="str">
        <x:v>SW18</x:v>
      </x:c>
      <x:c r="H123" s="19" t="str">
        <x:v>Seawater</x:v>
      </x:c>
      <x:c r="I123" s="24" t="n">
        <x:v>18</x:v>
      </x:c>
      <x:c r="J123" s="28" t="n">
        <x:v>73.2</x:v>
      </x:c>
      <x:c r="K123" s="28" t="n">
        <x:v>720</x:v>
      </x:c>
      <x:c r="L123" s="28" t="n">
        <x:v>0.5</x:v>
      </x:c>
      <x:c r="M123" s="26" t="n">
        <x:f>IF(OR(L123="",J123=""),"",L123/(J123/100))</x:f>
        <x:v>0.6830601092896175</x:v>
      </x:c>
      <x:c r="N123" s="26" t="n">
        <x:v>79.05097013625004</x:v>
      </x:c>
      <x:c r="O123" s="26" t="n">
        <x:v>43.91720563125002</x:v>
      </x:c>
      <x:c r="P123" s="20" t="b">
        <x:v>0</x:v>
      </x:c>
      <x:c r="Q123" s="20" t="b">
        <x:v>1</x:v>
      </x:c>
      <x:c r="R123" s="20" t="b">
        <x:v>0</x:v>
      </x:c>
      <x:c r="S123" s="20" t="b">
        <x:v>1</x:v>
      </x:c>
      <x:c r="T123" s="19" t="str">
        <x:v>active_measured</x:v>
      </x:c>
      <x:c r="U123" s="26" t="n">
        <x:v>0.6</x:v>
      </x:c>
      <x:c r="V123" s="26" t="n">
        <x:v>43.172180577662026</x:v>
      </x:c>
      <x:c r="W123" s="26" t="n">
        <x:v>93.25191004774999</x:v>
      </x:c>
      <x:c r="X123" s="19" t="str">
        <x:v>interior_minimum</x:v>
      </x:c>
      <x:c r="Y123" s="19" t="str">
        <x:v>valid</x:v>
      </x:c>
      <x:c r="Z123" s="24" t="n">
        <x:v>32</x:v>
      </x:c>
      <x:c r="AA123" s="24" t="n">
        <x:v>33</x:v>
      </x:c>
      <x:c r="AB123" s="19" t="str"/>
    </x:row>
    <x:row r="124" ht="15" hidden="0" customHeight="1">
      <x:c r="A124" s="19" t="str">
        <x:v>Eel 21</x:v>
      </x:c>
      <x:c r="B124" s="19" t="str">
        <x:v>E21SW18</x:v>
      </x:c>
      <x:c r="C124" s="19" t="str">
        <x:v>2012-01</x:v>
      </x:c>
      <x:c r="D124" s="19" t="n">
        <x:v>2011</x:v>
      </x:c>
      <x:c r="E124" s="19" t="str">
        <x:v>S1</x:v>
      </x:c>
      <x:c r="F124" s="19" t="n">
        <x:v>1</x:v>
      </x:c>
      <x:c r="G124" s="19" t="str">
        <x:v>SW18</x:v>
      </x:c>
      <x:c r="H124" s="19" t="str">
        <x:v>Seawater</x:v>
      </x:c>
      <x:c r="I124" s="24" t="n">
        <x:v>18</x:v>
      </x:c>
      <x:c r="J124" s="28" t="n">
        <x:v>73.2</x:v>
      </x:c>
      <x:c r="K124" s="28" t="n">
        <x:v>720</x:v>
      </x:c>
      <x:c r="L124" s="28" t="n">
        <x:v>0.6</x:v>
      </x:c>
      <x:c r="M124" s="26" t="n">
        <x:f>IF(OR(L124="",J124=""),"",L124/(J124/100))</x:f>
        <x:v>0.819672131147541</x:v>
      </x:c>
      <x:c r="N124" s="26" t="n">
        <x:v>93.25191004774999</x:v>
      </x:c>
      <x:c r="O124" s="26" t="n">
        <x:v>43.172180577662026</x:v>
      </x:c>
      <x:c r="P124" s="20" t="b">
        <x:v>0</x:v>
      </x:c>
      <x:c r="Q124" s="20" t="b">
        <x:v>1</x:v>
      </x:c>
      <x:c r="R124" s="20" t="b">
        <x:v>1</x:v>
      </x:c>
      <x:c r="S124" s="20" t="b">
        <x:v>1</x:v>
      </x:c>
      <x:c r="T124" s="19" t="str">
        <x:v>uopt_speed</x:v>
      </x:c>
      <x:c r="U124" s="26" t="n">
        <x:v>0.6</x:v>
      </x:c>
      <x:c r="V124" s="26" t="n">
        <x:v>43.172180577662026</x:v>
      </x:c>
      <x:c r="W124" s="26" t="n">
        <x:v>93.25191004774999</x:v>
      </x:c>
      <x:c r="X124" s="19" t="str">
        <x:v>interior_minimum</x:v>
      </x:c>
      <x:c r="Y124" s="19" t="str">
        <x:v>valid</x:v>
      </x:c>
      <x:c r="Z124" s="24" t="n">
        <x:v>32</x:v>
      </x:c>
      <x:c r="AA124" s="24" t="n">
        <x:v>33</x:v>
      </x:c>
      <x:c r="AB124" s="19" t="str">
        <x:v>Uopt/minCOT occurs at an interior observed active speed.</x:v>
      </x:c>
    </x:row>
    <x:row r="125" ht="15" hidden="0" customHeight="1">
      <x:c r="A125" s="19" t="str">
        <x:v>Eel 21</x:v>
      </x:c>
      <x:c r="B125" s="19" t="str">
        <x:v>E21SW18</x:v>
      </x:c>
      <x:c r="C125" s="19" t="str">
        <x:v>2012-01</x:v>
      </x:c>
      <x:c r="D125" s="19" t="n">
        <x:v>2011</x:v>
      </x:c>
      <x:c r="E125" s="19" t="str">
        <x:v>S1</x:v>
      </x:c>
      <x:c r="F125" s="19" t="n">
        <x:v>1</x:v>
      </x:c>
      <x:c r="G125" s="19" t="str">
        <x:v>SW18</x:v>
      </x:c>
      <x:c r="H125" s="19" t="str">
        <x:v>Seawater</x:v>
      </x:c>
      <x:c r="I125" s="24" t="n">
        <x:v>18</x:v>
      </x:c>
      <x:c r="J125" s="28" t="n">
        <x:v>73.2</x:v>
      </x:c>
      <x:c r="K125" s="28" t="n">
        <x:v>720</x:v>
      </x:c>
      <x:c r="L125" s="28" t="n">
        <x:v>0.7</x:v>
      </x:c>
      <x:c r="M125" s="26" t="n">
        <x:f>IF(OR(L125="",J125=""),"",L125/(J125/100))</x:f>
        <x:v>0.9562841530054644</x:v>
      </x:c>
      <x:c r="N125" s="26" t="n">
        <x:v>157.36788973400013</x:v>
      </x:c>
      <x:c r="O125" s="26" t="n">
        <x:v>62.44757529126989</x:v>
      </x:c>
      <x:c r="P125" s="20" t="b">
        <x:v>0</x:v>
      </x:c>
      <x:c r="Q125" s="20" t="b">
        <x:v>1</x:v>
      </x:c>
      <x:c r="R125" s="20" t="b">
        <x:v>0</x:v>
      </x:c>
      <x:c r="S125" s="20" t="b">
        <x:v>1</x:v>
      </x:c>
      <x:c r="T125" s="19" t="str">
        <x:v>active_measured</x:v>
      </x:c>
      <x:c r="U125" s="26" t="n">
        <x:v>0.6</x:v>
      </x:c>
      <x:c r="V125" s="26" t="n">
        <x:v>43.172180577662026</x:v>
      </x:c>
      <x:c r="W125" s="26" t="n">
        <x:v>93.25191004774999</x:v>
      </x:c>
      <x:c r="X125" s="19" t="str">
        <x:v>interior_minimum</x:v>
      </x:c>
      <x:c r="Y125" s="19" t="str">
        <x:v>valid</x:v>
      </x:c>
      <x:c r="Z125" s="24" t="n">
        <x:v>32</x:v>
      </x:c>
      <x:c r="AA125" s="24" t="n">
        <x:v>33</x:v>
      </x:c>
      <x:c r="AB125" s="19" t="str"/>
    </x:row>
    <x:row r="126" ht="15" hidden="0" customHeight="1">
      <x:c r="A126" s="19" t="str">
        <x:v>Eel 21</x:v>
      </x:c>
      <x:c r="B126" s="19" t="str">
        <x:v>E21SW18</x:v>
      </x:c>
      <x:c r="C126" s="19" t="str">
        <x:v>2012-01</x:v>
      </x:c>
      <x:c r="D126" s="19" t="n">
        <x:v>2011</x:v>
      </x:c>
      <x:c r="E126" s="19" t="str">
        <x:v>S1</x:v>
      </x:c>
      <x:c r="F126" s="19" t="n">
        <x:v>1</x:v>
      </x:c>
      <x:c r="G126" s="19" t="str">
        <x:v>SW18</x:v>
      </x:c>
      <x:c r="H126" s="19" t="str">
        <x:v>Seawater</x:v>
      </x:c>
      <x:c r="I126" s="24" t="n">
        <x:v>18</x:v>
      </x:c>
      <x:c r="J126" s="28" t="n">
        <x:v>73.2</x:v>
      </x:c>
      <x:c r="K126" s="28" t="n">
        <x:v>720</x:v>
      </x:c>
      <x:c r="L126" s="28" t="n">
        <x:v>0.8</x:v>
      </x:c>
      <x:c r="M126" s="26" t="n">
        <x:f>IF(OR(L126="",J126=""),"",L126/(J126/100))</x:f>
        <x:v>1.092896174863388</x:v>
      </x:c>
      <x:c r="N126" s="26" t="n">
        <x:v>157.42437831799984</x:v>
      </x:c>
      <x:c r="O126" s="26" t="n">
        <x:v>54.661242471527714</x:v>
      </x:c>
      <x:c r="P126" s="20" t="b">
        <x:v>0</x:v>
      </x:c>
      <x:c r="Q126" s="20" t="b">
        <x:v>1</x:v>
      </x:c>
      <x:c r="R126" s="20" t="b">
        <x:v>0</x:v>
      </x:c>
      <x:c r="S126" s="20" t="b">
        <x:v>1</x:v>
      </x:c>
      <x:c r="T126" s="19" t="str">
        <x:v>active_measured</x:v>
      </x:c>
      <x:c r="U126" s="26" t="n">
        <x:v>0.6</x:v>
      </x:c>
      <x:c r="V126" s="26" t="n">
        <x:v>43.172180577662026</x:v>
      </x:c>
      <x:c r="W126" s="26" t="n">
        <x:v>93.25191004774999</x:v>
      </x:c>
      <x:c r="X126" s="19" t="str">
        <x:v>interior_minimum</x:v>
      </x:c>
      <x:c r="Y126" s="19" t="str">
        <x:v>valid</x:v>
      </x:c>
      <x:c r="Z126" s="24" t="n">
        <x:v>32</x:v>
      </x:c>
      <x:c r="AA126" s="24" t="n">
        <x:v>33</x:v>
      </x:c>
      <x:c r="AB126" s="19" t="str"/>
    </x:row>
    <x:row r="127" ht="15" hidden="0" customHeight="1">
      <x:c r="A127" s="19" t="str">
        <x:v>Eel 21</x:v>
      </x:c>
      <x:c r="B127" s="19" t="str">
        <x:v>E21SW18</x:v>
      </x:c>
      <x:c r="C127" s="19" t="str">
        <x:v>2012-01</x:v>
      </x:c>
      <x:c r="D127" s="19" t="n">
        <x:v>2011</x:v>
      </x:c>
      <x:c r="E127" s="19" t="str">
        <x:v>S1</x:v>
      </x:c>
      <x:c r="F127" s="19" t="n">
        <x:v>1</x:v>
      </x:c>
      <x:c r="G127" s="19" t="str">
        <x:v>SW18</x:v>
      </x:c>
      <x:c r="H127" s="19" t="str">
        <x:v>Seawater</x:v>
      </x:c>
      <x:c r="I127" s="24" t="n">
        <x:v>18</x:v>
      </x:c>
      <x:c r="J127" s="28" t="n">
        <x:v>73.2</x:v>
      </x:c>
      <x:c r="K127" s="28" t="n">
        <x:v>720</x:v>
      </x:c>
      <x:c r="L127" s="28" t="n">
        <x:v>0.9</x:v>
      </x:c>
      <x:c r="M127" s="26" t="n">
        <x:f>IF(OR(L127="",J127=""),"",L127/(J127/100))</x:f>
        <x:v>1.2295081967213115</x:v>
      </x:c>
      <x:c r="N127" s="26" t="n">
        <x:v>204.96786914649985</x:v>
      </x:c>
      <x:c r="O127" s="26" t="n">
        <x:v>63.261688008178965</x:v>
      </x:c>
      <x:c r="P127" s="20" t="b">
        <x:v>0</x:v>
      </x:c>
      <x:c r="Q127" s="20" t="b">
        <x:v>1</x:v>
      </x:c>
      <x:c r="R127" s="20" t="b">
        <x:v>0</x:v>
      </x:c>
      <x:c r="S127" s="20" t="b">
        <x:v>1</x:v>
      </x:c>
      <x:c r="T127" s="19" t="str">
        <x:v>active_measured</x:v>
      </x:c>
      <x:c r="U127" s="26" t="n">
        <x:v>0.6</x:v>
      </x:c>
      <x:c r="V127" s="26" t="n">
        <x:v>43.172180577662026</x:v>
      </x:c>
      <x:c r="W127" s="26" t="n">
        <x:v>93.25191004774999</x:v>
      </x:c>
      <x:c r="X127" s="19" t="str">
        <x:v>interior_minimum</x:v>
      </x:c>
      <x:c r="Y127" s="19" t="str">
        <x:v>valid</x:v>
      </x:c>
      <x:c r="Z127" s="24" t="n">
        <x:v>32</x:v>
      </x:c>
      <x:c r="AA127" s="24" t="n">
        <x:v>33</x:v>
      </x:c>
      <x:c r="AB127" s="19" t="str"/>
    </x:row>
    <x:row r="128" ht="15" hidden="0" customHeight="1">
      <x:c r="A128" s="19" t="str">
        <x:v>Eel 22</x:v>
      </x:c>
      <x:c r="B128" s="19" t="str">
        <x:v>E22SW18</x:v>
      </x:c>
      <x:c r="C128" s="19" t="str">
        <x:v>2012-01</x:v>
      </x:c>
      <x:c r="D128" s="19" t="n">
        <x:v>2011</x:v>
      </x:c>
      <x:c r="E128" s="19" t="str">
        <x:v>S1</x:v>
      </x:c>
      <x:c r="F128" s="19" t="n">
        <x:v>1</x:v>
      </x:c>
      <x:c r="G128" s="19" t="str">
        <x:v>SW18</x:v>
      </x:c>
      <x:c r="H128" s="19" t="str">
        <x:v>Seawater</x:v>
      </x:c>
      <x:c r="I128" s="24" t="n">
        <x:v>18</x:v>
      </x:c>
      <x:c r="J128" s="28" t="n">
        <x:v>81.5</x:v>
      </x:c>
      <x:c r="K128" s="28" t="n">
        <x:v>906</x:v>
      </x:c>
      <x:c r="L128" s="28" t="n">
        <x:v>0.1</x:v>
      </x:c>
      <x:c r="M128" s="26" t="n">
        <x:f>IF(OR(L128="",J128=""),"",L128/(J128/100))</x:f>
        <x:v>0.1226993865030675</x:v>
      </x:c>
      <x:c r="N128" s="26" t="n">
        <x:v>46.113058422913916</x:v>
      </x:c>
      <x:c r="O128" s="26" t="n">
        <x:v>128.09182895253863</x:v>
      </x:c>
      <x:c r="P128" s="20" t="b">
        <x:v>1</x:v>
      </x:c>
      <x:c r="Q128" s="20" t="b">
        <x:v>0</x:v>
      </x:c>
      <x:c r="R128" s="20" t="b">
        <x:v>0</x:v>
      </x:c>
      <x:c r="S128" s="20" t="b">
        <x:v>0</x:v>
      </x:c>
      <x:c r="T128" s="19" t="str">
        <x:v>lowflow_0.1_m_s</x:v>
      </x:c>
      <x:c r="U128" s="26" t="n">
        <x:v>0.7</x:v>
      </x:c>
      <x:c r="V128" s="26" t="n">
        <x:v>29.99588625291706</x:v>
      </x:c>
      <x:c r="W128" s="26" t="n">
        <x:v>75.58963335735099</x:v>
      </x:c>
      <x:c r="X128" s="19" t="str">
        <x:v>interior_minimum</x:v>
      </x:c>
      <x:c r="Y128" s="19" t="str">
        <x:v>valid</x:v>
      </x:c>
      <x:c r="Z128" s="24" t="n">
        <x:v>33</x:v>
      </x:c>
      <x:c r="AA128" s="24" t="n">
        <x:v>34</x:v>
      </x:c>
      <x:c r="AB128" s="19" t="str"/>
    </x:row>
    <x:row r="129" ht="15" hidden="0" customHeight="1">
      <x:c r="A129" s="19" t="str">
        <x:v>Eel 22</x:v>
      </x:c>
      <x:c r="B129" s="19" t="str">
        <x:v>E22SW18</x:v>
      </x:c>
      <x:c r="C129" s="19" t="str">
        <x:v>2012-01</x:v>
      </x:c>
      <x:c r="D129" s="19" t="n">
        <x:v>2011</x:v>
      </x:c>
      <x:c r="E129" s="19" t="str">
        <x:v>S1</x:v>
      </x:c>
      <x:c r="F129" s="19" t="n">
        <x:v>1</x:v>
      </x:c>
      <x:c r="G129" s="19" t="str">
        <x:v>SW18</x:v>
      </x:c>
      <x:c r="H129" s="19" t="str">
        <x:v>Seawater</x:v>
      </x:c>
      <x:c r="I129" s="24" t="n">
        <x:v>18</x:v>
      </x:c>
      <x:c r="J129" s="28" t="n">
        <x:v>81.5</x:v>
      </x:c>
      <x:c r="K129" s="28" t="n">
        <x:v>906</x:v>
      </x:c>
      <x:c r="L129" s="28" t="n">
        <x:v>0.4</x:v>
      </x:c>
      <x:c r="M129" s="26" t="n">
        <x:f>IF(OR(L129="",J129=""),"",L129/(J129/100))</x:f>
        <x:v>0.49079754601227</x:v>
      </x:c>
      <x:c r="N129" s="26" t="n">
        <x:v>69.9071031361588</x:v>
      </x:c>
      <x:c r="O129" s="26" t="n">
        <x:v>48.54659940011027</x:v>
      </x:c>
      <x:c r="P129" s="20" t="b">
        <x:v>0</x:v>
      </x:c>
      <x:c r="Q129" s="20" t="b">
        <x:v>1</x:v>
      </x:c>
      <x:c r="R129" s="20" t="b">
        <x:v>0</x:v>
      </x:c>
      <x:c r="S129" s="20" t="b">
        <x:v>1</x:v>
      </x:c>
      <x:c r="T129" s="19" t="str">
        <x:v>active_measured</x:v>
      </x:c>
      <x:c r="U129" s="26" t="n">
        <x:v>0.7</x:v>
      </x:c>
      <x:c r="V129" s="26" t="n">
        <x:v>29.99588625291706</x:v>
      </x:c>
      <x:c r="W129" s="26" t="n">
        <x:v>75.58963335735099</x:v>
      </x:c>
      <x:c r="X129" s="19" t="str">
        <x:v>interior_minimum</x:v>
      </x:c>
      <x:c r="Y129" s="19" t="str">
        <x:v>valid</x:v>
      </x:c>
      <x:c r="Z129" s="24" t="n">
        <x:v>33</x:v>
      </x:c>
      <x:c r="AA129" s="24" t="n">
        <x:v>34</x:v>
      </x:c>
      <x:c r="AB129" s="19" t="str"/>
    </x:row>
    <x:row r="130" ht="15" hidden="0" customHeight="1">
      <x:c r="A130" s="19" t="str">
        <x:v>Eel 22</x:v>
      </x:c>
      <x:c r="B130" s="19" t="str">
        <x:v>E22SW18</x:v>
      </x:c>
      <x:c r="C130" s="19" t="str">
        <x:v>2012-01</x:v>
      </x:c>
      <x:c r="D130" s="19" t="n">
        <x:v>2011</x:v>
      </x:c>
      <x:c r="E130" s="19" t="str">
        <x:v>S1</x:v>
      </x:c>
      <x:c r="F130" s="19" t="n">
        <x:v>1</x:v>
      </x:c>
      <x:c r="G130" s="19" t="str">
        <x:v>SW18</x:v>
      </x:c>
      <x:c r="H130" s="19" t="str">
        <x:v>Seawater</x:v>
      </x:c>
      <x:c r="I130" s="24" t="n">
        <x:v>18</x:v>
      </x:c>
      <x:c r="J130" s="28" t="n">
        <x:v>81.5</x:v>
      </x:c>
      <x:c r="K130" s="28" t="n">
        <x:v>906</x:v>
      </x:c>
      <x:c r="L130" s="28" t="n">
        <x:v>0.5</x:v>
      </x:c>
      <x:c r="M130" s="26" t="n">
        <x:f>IF(OR(L130="",J130=""),"",L130/(J130/100))</x:f>
        <x:v>0.6134969325153374</x:v>
      </x:c>
      <x:c r="N130" s="26" t="n">
        <x:v>82.05400091125824</x:v>
      </x:c>
      <x:c r="O130" s="26" t="n">
        <x:v>45.58555606181013</x:v>
      </x:c>
      <x:c r="P130" s="20" t="b">
        <x:v>0</x:v>
      </x:c>
      <x:c r="Q130" s="20" t="b">
        <x:v>1</x:v>
      </x:c>
      <x:c r="R130" s="20" t="b">
        <x:v>0</x:v>
      </x:c>
      <x:c r="S130" s="20" t="b">
        <x:v>1</x:v>
      </x:c>
      <x:c r="T130" s="19" t="str">
        <x:v>active_measured</x:v>
      </x:c>
      <x:c r="U130" s="26" t="n">
        <x:v>0.7</x:v>
      </x:c>
      <x:c r="V130" s="26" t="n">
        <x:v>29.99588625291706</x:v>
      </x:c>
      <x:c r="W130" s="26" t="n">
        <x:v>75.58963335735099</x:v>
      </x:c>
      <x:c r="X130" s="19" t="str">
        <x:v>interior_minimum</x:v>
      </x:c>
      <x:c r="Y130" s="19" t="str">
        <x:v>valid</x:v>
      </x:c>
      <x:c r="Z130" s="24" t="n">
        <x:v>33</x:v>
      </x:c>
      <x:c r="AA130" s="24" t="n">
        <x:v>34</x:v>
      </x:c>
      <x:c r="AB130" s="19" t="str"/>
    </x:row>
    <x:row r="131" ht="15" hidden="0" customHeight="1">
      <x:c r="A131" s="19" t="str">
        <x:v>Eel 22</x:v>
      </x:c>
      <x:c r="B131" s="19" t="str">
        <x:v>E22SW18</x:v>
      </x:c>
      <x:c r="C131" s="19" t="str">
        <x:v>2012-01</x:v>
      </x:c>
      <x:c r="D131" s="19" t="n">
        <x:v>2011</x:v>
      </x:c>
      <x:c r="E131" s="19" t="str">
        <x:v>S1</x:v>
      </x:c>
      <x:c r="F131" s="19" t="n">
        <x:v>1</x:v>
      </x:c>
      <x:c r="G131" s="19" t="str">
        <x:v>SW18</x:v>
      </x:c>
      <x:c r="H131" s="19" t="str">
        <x:v>Seawater</x:v>
      </x:c>
      <x:c r="I131" s="24" t="n">
        <x:v>18</x:v>
      </x:c>
      <x:c r="J131" s="28" t="n">
        <x:v>81.5</x:v>
      </x:c>
      <x:c r="K131" s="28" t="n">
        <x:v>906</x:v>
      </x:c>
      <x:c r="L131" s="28" t="n">
        <x:v>0.6</x:v>
      </x:c>
      <x:c r="M131" s="26" t="n">
        <x:f>IF(OR(L131="",J131=""),"",L131/(J131/100))</x:f>
        <x:v>0.7361963190184049</x:v>
      </x:c>
      <x:c r="N131" s="26" t="n">
        <x:v>85.16528879602672</x:v>
      </x:c>
      <x:c r="O131" s="26" t="n">
        <x:v>39.428374442604955</x:v>
      </x:c>
      <x:c r="P131" s="20" t="b">
        <x:v>0</x:v>
      </x:c>
      <x:c r="Q131" s="20" t="b">
        <x:v>1</x:v>
      </x:c>
      <x:c r="R131" s="20" t="b">
        <x:v>0</x:v>
      </x:c>
      <x:c r="S131" s="20" t="b">
        <x:v>1</x:v>
      </x:c>
      <x:c r="T131" s="19" t="str">
        <x:v>active_measured</x:v>
      </x:c>
      <x:c r="U131" s="26" t="n">
        <x:v>0.7</x:v>
      </x:c>
      <x:c r="V131" s="26" t="n">
        <x:v>29.99588625291706</x:v>
      </x:c>
      <x:c r="W131" s="26" t="n">
        <x:v>75.58963335735099</x:v>
      </x:c>
      <x:c r="X131" s="19" t="str">
        <x:v>interior_minimum</x:v>
      </x:c>
      <x:c r="Y131" s="19" t="str">
        <x:v>valid</x:v>
      </x:c>
      <x:c r="Z131" s="24" t="n">
        <x:v>33</x:v>
      </x:c>
      <x:c r="AA131" s="24" t="n">
        <x:v>34</x:v>
      </x:c>
      <x:c r="AB131" s="19" t="str"/>
    </x:row>
    <x:row r="132" ht="15" hidden="0" customHeight="1">
      <x:c r="A132" s="19" t="str">
        <x:v>Eel 22</x:v>
      </x:c>
      <x:c r="B132" s="19" t="str">
        <x:v>E22SW18</x:v>
      </x:c>
      <x:c r="C132" s="19" t="str">
        <x:v>2012-01</x:v>
      </x:c>
      <x:c r="D132" s="19" t="n">
        <x:v>2011</x:v>
      </x:c>
      <x:c r="E132" s="19" t="str">
        <x:v>S1</x:v>
      </x:c>
      <x:c r="F132" s="19" t="n">
        <x:v>1</x:v>
      </x:c>
      <x:c r="G132" s="19" t="str">
        <x:v>SW18</x:v>
      </x:c>
      <x:c r="H132" s="19" t="str">
        <x:v>Seawater</x:v>
      </x:c>
      <x:c r="I132" s="24" t="n">
        <x:v>18</x:v>
      </x:c>
      <x:c r="J132" s="28" t="n">
        <x:v>81.5</x:v>
      </x:c>
      <x:c r="K132" s="28" t="n">
        <x:v>906</x:v>
      </x:c>
      <x:c r="L132" s="28" t="n">
        <x:v>0.7</x:v>
      </x:c>
      <x:c r="M132" s="26" t="n">
        <x:f>IF(OR(L132="",J132=""),"",L132/(J132/100))</x:f>
        <x:v>0.8588957055214724</x:v>
      </x:c>
      <x:c r="N132" s="26" t="n">
        <x:v>75.58963335735099</x:v>
      </x:c>
      <x:c r="O132" s="26" t="n">
        <x:v>29.99588625291706</x:v>
      </x:c>
      <x:c r="P132" s="20" t="b">
        <x:v>0</x:v>
      </x:c>
      <x:c r="Q132" s="20" t="b">
        <x:v>1</x:v>
      </x:c>
      <x:c r="R132" s="20" t="b">
        <x:v>1</x:v>
      </x:c>
      <x:c r="S132" s="20" t="b">
        <x:v>1</x:v>
      </x:c>
      <x:c r="T132" s="19" t="str">
        <x:v>uopt_speed</x:v>
      </x:c>
      <x:c r="U132" s="26" t="n">
        <x:v>0.7</x:v>
      </x:c>
      <x:c r="V132" s="26" t="n">
        <x:v>29.99588625291706</x:v>
      </x:c>
      <x:c r="W132" s="26" t="n">
        <x:v>75.58963335735099</x:v>
      </x:c>
      <x:c r="X132" s="19" t="str">
        <x:v>interior_minimum</x:v>
      </x:c>
      <x:c r="Y132" s="19" t="str">
        <x:v>valid</x:v>
      </x:c>
      <x:c r="Z132" s="24" t="n">
        <x:v>33</x:v>
      </x:c>
      <x:c r="AA132" s="24" t="n">
        <x:v>34</x:v>
      </x:c>
      <x:c r="AB132" s="19" t="str">
        <x:v>Uopt/minCOT occurs at an interior observed active speed.</x:v>
      </x:c>
    </x:row>
    <x:row r="133" ht="15" hidden="0" customHeight="1">
      <x:c r="A133" s="19" t="str">
        <x:v>Eel 22</x:v>
      </x:c>
      <x:c r="B133" s="19" t="str">
        <x:v>E22SW18</x:v>
      </x:c>
      <x:c r="C133" s="19" t="str">
        <x:v>2012-01</x:v>
      </x:c>
      <x:c r="D133" s="19" t="n">
        <x:v>2011</x:v>
      </x:c>
      <x:c r="E133" s="19" t="str">
        <x:v>S1</x:v>
      </x:c>
      <x:c r="F133" s="19" t="n">
        <x:v>1</x:v>
      </x:c>
      <x:c r="G133" s="19" t="str">
        <x:v>SW18</x:v>
      </x:c>
      <x:c r="H133" s="19" t="str">
        <x:v>Seawater</x:v>
      </x:c>
      <x:c r="I133" s="24" t="n">
        <x:v>18</x:v>
      </x:c>
      <x:c r="J133" s="28" t="n">
        <x:v>81.5</x:v>
      </x:c>
      <x:c r="K133" s="28" t="n">
        <x:v>906</x:v>
      </x:c>
      <x:c r="L133" s="28" t="n">
        <x:v>0.8</x:v>
      </x:c>
      <x:c r="M133" s="26" t="n">
        <x:f>IF(OR(L133="",J133=""),"",L133/(J133/100))</x:f>
        <x:v>0.98159509202454</x:v>
      </x:c>
      <x:c r="N133" s="26" t="n">
        <x:v>119.21205062463571</x:v>
      </x:c>
      <x:c r="O133" s="26" t="n">
        <x:v>41.39307313355406</x:v>
      </x:c>
      <x:c r="P133" s="20" t="b">
        <x:v>0</x:v>
      </x:c>
      <x:c r="Q133" s="20" t="b">
        <x:v>1</x:v>
      </x:c>
      <x:c r="R133" s="20" t="b">
        <x:v>0</x:v>
      </x:c>
      <x:c r="S133" s="20" t="b">
        <x:v>1</x:v>
      </x:c>
      <x:c r="T133" s="19" t="str">
        <x:v>active_measured</x:v>
      </x:c>
      <x:c r="U133" s="26" t="n">
        <x:v>0.7</x:v>
      </x:c>
      <x:c r="V133" s="26" t="n">
        <x:v>29.99588625291706</x:v>
      </x:c>
      <x:c r="W133" s="26" t="n">
        <x:v>75.58963335735099</x:v>
      </x:c>
      <x:c r="X133" s="19" t="str">
        <x:v>interior_minimum</x:v>
      </x:c>
      <x:c r="Y133" s="19" t="str">
        <x:v>valid</x:v>
      </x:c>
      <x:c r="Z133" s="24" t="n">
        <x:v>33</x:v>
      </x:c>
      <x:c r="AA133" s="24" t="n">
        <x:v>34</x:v>
      </x:c>
      <x:c r="AB133" s="19" t="str"/>
    </x:row>
    <x:row r="134" ht="15" hidden="0" customHeight="1">
      <x:c r="A134" s="19" t="str">
        <x:v>Eel 22</x:v>
      </x:c>
      <x:c r="B134" s="19" t="str">
        <x:v>E22SW18</x:v>
      </x:c>
      <x:c r="C134" s="19" t="str">
        <x:v>2012-01</x:v>
      </x:c>
      <x:c r="D134" s="19" t="n">
        <x:v>2011</x:v>
      </x:c>
      <x:c r="E134" s="19" t="str">
        <x:v>S1</x:v>
      </x:c>
      <x:c r="F134" s="19" t="n">
        <x:v>1</x:v>
      </x:c>
      <x:c r="G134" s="19" t="str">
        <x:v>SW18</x:v>
      </x:c>
      <x:c r="H134" s="19" t="str">
        <x:v>Seawater</x:v>
      </x:c>
      <x:c r="I134" s="24" t="n">
        <x:v>18</x:v>
      </x:c>
      <x:c r="J134" s="28" t="n">
        <x:v>81.5</x:v>
      </x:c>
      <x:c r="K134" s="28" t="n">
        <x:v>906</x:v>
      </x:c>
      <x:c r="L134" s="28" t="n">
        <x:v>0.9</x:v>
      </x:c>
      <x:c r="M134" s="26" t="n">
        <x:f>IF(OR(L134="",J134=""),"",L134/(J134/100))</x:f>
        <x:v>1.1042944785276074</x:v>
      </x:c>
      <x:c r="N134" s="26" t="n">
        <x:v>130.6254365014568</x:v>
      </x:c>
      <x:c r="O134" s="26" t="n">
        <x:v>40.316492747363206</x:v>
      </x:c>
      <x:c r="P134" s="20" t="b">
        <x:v>0</x:v>
      </x:c>
      <x:c r="Q134" s="20" t="b">
        <x:v>1</x:v>
      </x:c>
      <x:c r="R134" s="20" t="b">
        <x:v>0</x:v>
      </x:c>
      <x:c r="S134" s="20" t="b">
        <x:v>1</x:v>
      </x:c>
      <x:c r="T134" s="19" t="str">
        <x:v>active_measured</x:v>
      </x:c>
      <x:c r="U134" s="26" t="n">
        <x:v>0.7</x:v>
      </x:c>
      <x:c r="V134" s="26" t="n">
        <x:v>29.99588625291706</x:v>
      </x:c>
      <x:c r="W134" s="26" t="n">
        <x:v>75.58963335735099</x:v>
      </x:c>
      <x:c r="X134" s="19" t="str">
        <x:v>interior_minimum</x:v>
      </x:c>
      <x:c r="Y134" s="19" t="str">
        <x:v>valid</x:v>
      </x:c>
      <x:c r="Z134" s="24" t="n">
        <x:v>33</x:v>
      </x:c>
      <x:c r="AA134" s="24" t="n">
        <x:v>34</x:v>
      </x:c>
      <x:c r="AB134" s="19" t="str"/>
    </x:row>
    <x:row r="135" ht="15" hidden="0" customHeight="1">
      <x:c r="A135" s="19" t="str">
        <x:v>Eel 22</x:v>
      </x:c>
      <x:c r="B135" s="19" t="str">
        <x:v>E22SW18</x:v>
      </x:c>
      <x:c r="C135" s="19" t="str">
        <x:v>2012-01</x:v>
      </x:c>
      <x:c r="D135" s="19" t="n">
        <x:v>2011</x:v>
      </x:c>
      <x:c r="E135" s="19" t="str">
        <x:v>S1</x:v>
      </x:c>
      <x:c r="F135" s="19" t="n">
        <x:v>1</x:v>
      </x:c>
      <x:c r="G135" s="19" t="str">
        <x:v>SW18</x:v>
      </x:c>
      <x:c r="H135" s="19" t="str">
        <x:v>Seawater</x:v>
      </x:c>
      <x:c r="I135" s="24" t="n">
        <x:v>18</x:v>
      </x:c>
      <x:c r="J135" s="28" t="n">
        <x:v>81.5</x:v>
      </x:c>
      <x:c r="K135" s="28" t="n">
        <x:v>906</x:v>
      </x:c>
      <x:c r="L135" s="28" t="n">
        <x:v>1</x:v>
      </x:c>
      <x:c r="M135" s="26" t="n">
        <x:f>IF(OR(L135="",J135=""),"",L135/(J135/100))</x:f>
        <x:v>1.2269938650306749</x:v>
      </x:c>
      <x:c r="N135" s="26" t="n">
        <x:v>190.25561277297993</x:v>
      </x:c>
      <x:c r="O135" s="26" t="n">
        <x:v>52.84878132582776</x:v>
      </x:c>
      <x:c r="P135" s="20" t="b">
        <x:v>0</x:v>
      </x:c>
      <x:c r="Q135" s="20" t="b">
        <x:v>1</x:v>
      </x:c>
      <x:c r="R135" s="20" t="b">
        <x:v>0</x:v>
      </x:c>
      <x:c r="S135" s="20" t="b">
        <x:v>1</x:v>
      </x:c>
      <x:c r="T135" s="19" t="str">
        <x:v>active_measured</x:v>
      </x:c>
      <x:c r="U135" s="26" t="n">
        <x:v>0.7</x:v>
      </x:c>
      <x:c r="V135" s="26" t="n">
        <x:v>29.99588625291706</x:v>
      </x:c>
      <x:c r="W135" s="26" t="n">
        <x:v>75.58963335735099</x:v>
      </x:c>
      <x:c r="X135" s="19" t="str">
        <x:v>interior_minimum</x:v>
      </x:c>
      <x:c r="Y135" s="19" t="str">
        <x:v>valid</x:v>
      </x:c>
      <x:c r="Z135" s="24" t="n">
        <x:v>33</x:v>
      </x:c>
      <x:c r="AA135" s="24" t="n">
        <x:v>34</x:v>
      </x:c>
      <x:c r="AB135" s="19" t="str"/>
    </x:row>
    <x:row r="136" ht="15" hidden="0" customHeight="1">
      <x:c r="A136" s="19" t="str">
        <x:v>Eel 23</x:v>
      </x:c>
      <x:c r="B136" s="19" t="str">
        <x:v>E23SW18</x:v>
      </x:c>
      <x:c r="C136" s="19" t="str">
        <x:v>2012-01</x:v>
      </x:c>
      <x:c r="D136" s="19" t="n">
        <x:v>2011</x:v>
      </x:c>
      <x:c r="E136" s="19" t="str">
        <x:v>S1</x:v>
      </x:c>
      <x:c r="F136" s="19" t="n">
        <x:v>1</x:v>
      </x:c>
      <x:c r="G136" s="19" t="str">
        <x:v>SW18</x:v>
      </x:c>
      <x:c r="H136" s="19" t="str">
        <x:v>Seawater</x:v>
      </x:c>
      <x:c r="I136" s="24" t="n">
        <x:v>18</x:v>
      </x:c>
      <x:c r="J136" s="28" t="n">
        <x:v>83</x:v>
      </x:c>
      <x:c r="K136" s="28" t="n">
        <x:v>977</x:v>
      </x:c>
      <x:c r="L136" s="28" t="n">
        <x:v>0.1</x:v>
      </x:c>
      <x:c r="M136" s="26" t="n">
        <x:f>IF(OR(L136="",J136=""),"",L136/(J136/100))</x:f>
        <x:v>0.12048192771084339</x:v>
      </x:c>
      <x:c r="N136" s="26" t="n">
        <x:v>74.89727671983626</x:v>
      </x:c>
      <x:c r="O136" s="26" t="n">
        <x:v>208.04799088843401</x:v>
      </x:c>
      <x:c r="P136" s="20" t="b">
        <x:v>1</x:v>
      </x:c>
      <x:c r="Q136" s="20" t="b">
        <x:v>0</x:v>
      </x:c>
      <x:c r="R136" s="20" t="b">
        <x:v>0</x:v>
      </x:c>
      <x:c r="S136" s="20" t="b">
        <x:v>0</x:v>
      </x:c>
      <x:c r="T136" s="19" t="str">
        <x:v>lowflow_0.1_m_s</x:v>
      </x:c>
      <x:c r="U136" s="26" t="n">
        <x:v>0.6</x:v>
      </x:c>
      <x:c r="V136" s="26" t="n">
        <x:v>41.97459624701469</x:v>
      </x:c>
      <x:c r="W136" s="26" t="n">
        <x:v>90.66512789355173</x:v>
      </x:c>
      <x:c r="X136" s="19" t="str">
        <x:v>highest_observed_speed</x:v>
      </x:c>
      <x:c r="Y136" s="19" t="str">
        <x:v>boundary_estimate</x:v>
      </x:c>
      <x:c r="Z136" s="24" t="n">
        <x:v>34</x:v>
      </x:c>
      <x:c r="AA136" s="24" t="n">
        <x:v>35</x:v>
      </x:c>
      <x:c r="AB136" s="19" t="str"/>
    </x:row>
    <x:row r="137" ht="15" hidden="0" customHeight="1">
      <x:c r="A137" s="19" t="str">
        <x:v>Eel 23</x:v>
      </x:c>
      <x:c r="B137" s="19" t="str">
        <x:v>E23SW18</x:v>
      </x:c>
      <x:c r="C137" s="19" t="str">
        <x:v>2012-01</x:v>
      </x:c>
      <x:c r="D137" s="19" t="n">
        <x:v>2011</x:v>
      </x:c>
      <x:c r="E137" s="19" t="str">
        <x:v>S1</x:v>
      </x:c>
      <x:c r="F137" s="19" t="n">
        <x:v>1</x:v>
      </x:c>
      <x:c r="G137" s="19" t="str">
        <x:v>SW18</x:v>
      </x:c>
      <x:c r="H137" s="19" t="str">
        <x:v>Seawater</x:v>
      </x:c>
      <x:c r="I137" s="24" t="n">
        <x:v>18</x:v>
      </x:c>
      <x:c r="J137" s="28" t="n">
        <x:v>83</x:v>
      </x:c>
      <x:c r="K137" s="28" t="n">
        <x:v>977</x:v>
      </x:c>
      <x:c r="L137" s="28" t="n">
        <x:v>0.4</x:v>
      </x:c>
      <x:c r="M137" s="26" t="n">
        <x:f>IF(OR(L137="",J137=""),"",L137/(J137/100))</x:f>
        <x:v>0.48192771084337355</x:v>
      </x:c>
      <x:c r="N137" s="26" t="n">
        <x:v>78.30168946784033</x:v>
      </x:c>
      <x:c r="O137" s="26" t="n">
        <x:v>54.37617324155578</x:v>
      </x:c>
      <x:c r="P137" s="20" t="b">
        <x:v>0</x:v>
      </x:c>
      <x:c r="Q137" s="20" t="b">
        <x:v>1</x:v>
      </x:c>
      <x:c r="R137" s="20" t="b">
        <x:v>0</x:v>
      </x:c>
      <x:c r="S137" s="20" t="b">
        <x:v>1</x:v>
      </x:c>
      <x:c r="T137" s="19" t="str">
        <x:v>active_measured</x:v>
      </x:c>
      <x:c r="U137" s="26" t="n">
        <x:v>0.6</x:v>
      </x:c>
      <x:c r="V137" s="26" t="n">
        <x:v>41.97459624701469</x:v>
      </x:c>
      <x:c r="W137" s="26" t="n">
        <x:v>90.66512789355173</x:v>
      </x:c>
      <x:c r="X137" s="19" t="str">
        <x:v>highest_observed_speed</x:v>
      </x:c>
      <x:c r="Y137" s="19" t="str">
        <x:v>boundary_estimate</x:v>
      </x:c>
      <x:c r="Z137" s="24" t="n">
        <x:v>34</x:v>
      </x:c>
      <x:c r="AA137" s="24" t="n">
        <x:v>35</x:v>
      </x:c>
      <x:c r="AB137" s="19" t="str"/>
    </x:row>
    <x:row r="138" ht="15" hidden="0" customHeight="1">
      <x:c r="A138" s="19" t="str">
        <x:v>Eel 23</x:v>
      </x:c>
      <x:c r="B138" s="19" t="str">
        <x:v>E23SW18</x:v>
      </x:c>
      <x:c r="C138" s="19" t="str">
        <x:v>2012-01</x:v>
      </x:c>
      <x:c r="D138" s="19" t="n">
        <x:v>2011</x:v>
      </x:c>
      <x:c r="E138" s="19" t="str">
        <x:v>S1</x:v>
      </x:c>
      <x:c r="F138" s="19" t="n">
        <x:v>1</x:v>
      </x:c>
      <x:c r="G138" s="19" t="str">
        <x:v>SW18</x:v>
      </x:c>
      <x:c r="H138" s="19" t="str">
        <x:v>Seawater</x:v>
      </x:c>
      <x:c r="I138" s="24" t="n">
        <x:v>18</x:v>
      </x:c>
      <x:c r="J138" s="28" t="n">
        <x:v>83</x:v>
      </x:c>
      <x:c r="K138" s="28" t="n">
        <x:v>977</x:v>
      </x:c>
      <x:c r="L138" s="28" t="n">
        <x:v>0.5</x:v>
      </x:c>
      <x:c r="M138" s="26" t="n">
        <x:f>IF(OR(L138="",J138=""),"",L138/(J138/100))</x:f>
        <x:v>0.6024096385542169</x:v>
      </x:c>
      <x:c r="N138" s="26" t="n">
        <x:v>88.99277178153541</x:v>
      </x:c>
      <x:c r="O138" s="26" t="n">
        <x:v>49.44042876751967</x:v>
      </x:c>
      <x:c r="P138" s="20" t="b">
        <x:v>0</x:v>
      </x:c>
      <x:c r="Q138" s="20" t="b">
        <x:v>1</x:v>
      </x:c>
      <x:c r="R138" s="20" t="b">
        <x:v>0</x:v>
      </x:c>
      <x:c r="S138" s="20" t="b">
        <x:v>1</x:v>
      </x:c>
      <x:c r="T138" s="19" t="str">
        <x:v>active_measured</x:v>
      </x:c>
      <x:c r="U138" s="26" t="n">
        <x:v>0.6</x:v>
      </x:c>
      <x:c r="V138" s="26" t="n">
        <x:v>41.97459624701469</x:v>
      </x:c>
      <x:c r="W138" s="26" t="n">
        <x:v>90.66512789355173</x:v>
      </x:c>
      <x:c r="X138" s="19" t="str">
        <x:v>highest_observed_speed</x:v>
      </x:c>
      <x:c r="Y138" s="19" t="str">
        <x:v>boundary_estimate</x:v>
      </x:c>
      <x:c r="Z138" s="24" t="n">
        <x:v>34</x:v>
      </x:c>
      <x:c r="AA138" s="24" t="n">
        <x:v>35</x:v>
      </x:c>
      <x:c r="AB138" s="19" t="str"/>
    </x:row>
    <x:row r="139" ht="15" hidden="0" customHeight="1">
      <x:c r="A139" s="19" t="str">
        <x:v>Eel 23</x:v>
      </x:c>
      <x:c r="B139" s="19" t="str">
        <x:v>E23SW18</x:v>
      </x:c>
      <x:c r="C139" s="19" t="str">
        <x:v>2012-01</x:v>
      </x:c>
      <x:c r="D139" s="19" t="n">
        <x:v>2011</x:v>
      </x:c>
      <x:c r="E139" s="19" t="str">
        <x:v>S1</x:v>
      </x:c>
      <x:c r="F139" s="19" t="n">
        <x:v>1</x:v>
      </x:c>
      <x:c r="G139" s="19" t="str">
        <x:v>SW18</x:v>
      </x:c>
      <x:c r="H139" s="19" t="str">
        <x:v>Seawater</x:v>
      </x:c>
      <x:c r="I139" s="24" t="n">
        <x:v>18</x:v>
      </x:c>
      <x:c r="J139" s="28" t="n">
        <x:v>83</x:v>
      </x:c>
      <x:c r="K139" s="28" t="n">
        <x:v>977</x:v>
      </x:c>
      <x:c r="L139" s="28" t="n">
        <x:v>0.6</x:v>
      </x:c>
      <x:c r="M139" s="26" t="n">
        <x:f>IF(OR(L139="",J139=""),"",L139/(J139/100))</x:f>
        <x:v>0.7228915662650602</x:v>
      </x:c>
      <x:c r="N139" s="26" t="n">
        <x:v>90.66512789355173</x:v>
      </x:c>
      <x:c r="O139" s="26" t="n">
        <x:v>41.97459624701469</x:v>
      </x:c>
      <x:c r="P139" s="20" t="b">
        <x:v>0</x:v>
      </x:c>
      <x:c r="Q139" s="20" t="b">
        <x:v>1</x:v>
      </x:c>
      <x:c r="R139" s="20" t="b">
        <x:v>1</x:v>
      </x:c>
      <x:c r="S139" s="20" t="b">
        <x:v>1</x:v>
      </x:c>
      <x:c r="T139" s="19" t="str">
        <x:v>uopt_speed</x:v>
      </x:c>
      <x:c r="U139" s="26" t="n">
        <x:v>0.6</x:v>
      </x:c>
      <x:c r="V139" s="26" t="n">
        <x:v>41.97459624701469</x:v>
      </x:c>
      <x:c r="W139" s="26" t="n">
        <x:v>90.66512789355173</x:v>
      </x:c>
      <x:c r="X139" s="19" t="str">
        <x:v>highest_observed_speed</x:v>
      </x:c>
      <x:c r="Y139" s="19" t="str">
        <x:v>boundary_estimate</x:v>
      </x:c>
      <x:c r="Z139" s="24" t="n">
        <x:v>34</x:v>
      </x:c>
      <x:c r="AA139" s="24" t="n">
        <x:v>35</x:v>
      </x:c>
      <x:c r="AB139" s="19" t="str">
        <x:v>Uopt/minCOT occurs at highest observed speed; treated as boundary_estimate in Table S2.</x:v>
      </x:c>
    </x:row>
    <x:row r="140" ht="15" hidden="0" customHeight="1">
      <x:c r="A140" s="19" t="str">
        <x:v>Eel 24</x:v>
      </x:c>
      <x:c r="B140" s="19" t="str">
        <x:v>E24SW18</x:v>
      </x:c>
      <x:c r="C140" s="19" t="str">
        <x:v>2012-01</x:v>
      </x:c>
      <x:c r="D140" s="19" t="n">
        <x:v>2011</x:v>
      </x:c>
      <x:c r="E140" s="19" t="str">
        <x:v>S1</x:v>
      </x:c>
      <x:c r="F140" s="19" t="n">
        <x:v>1</x:v>
      </x:c>
      <x:c r="G140" s="19" t="str">
        <x:v>SW18</x:v>
      </x:c>
      <x:c r="H140" s="19" t="str">
        <x:v>Seawater</x:v>
      </x:c>
      <x:c r="I140" s="24" t="n">
        <x:v>18</x:v>
      </x:c>
      <x:c r="J140" s="28" t="n">
        <x:v>93</x:v>
      </x:c>
      <x:c r="K140" s="28" t="n">
        <x:v>1366</x:v>
      </x:c>
      <x:c r="L140" s="28" t="n">
        <x:v>0.1</x:v>
      </x:c>
      <x:c r="M140" s="26" t="n">
        <x:f>IF(OR(L140="",J140=""),"",L140/(J140/100))</x:f>
        <x:v>0.10752688172043011</x:v>
      </x:c>
      <x:c r="N140" s="26" t="n">
        <x:v>48.87688185645678</x:v>
      </x:c>
      <x:c r="O140" s="26" t="n">
        <x:v>135.7691162679355</x:v>
      </x:c>
      <x:c r="P140" s="20" t="b">
        <x:v>1</x:v>
      </x:c>
      <x:c r="Q140" s="20" t="b">
        <x:v>0</x:v>
      </x:c>
      <x:c r="R140" s="20" t="b">
        <x:v>0</x:v>
      </x:c>
      <x:c r="S140" s="20" t="b">
        <x:v>0</x:v>
      </x:c>
      <x:c r="T140" s="19" t="str">
        <x:v>lowflow_0.1_m_s</x:v>
      </x:c>
      <x:c r="U140" s="26" t="n">
        <x:v>0.5</x:v>
      </x:c>
      <x:c r="V140" s="26" t="n">
        <x:v>40.82097654333827</x:v>
      </x:c>
      <x:c r="W140" s="26" t="n">
        <x:v>73.47775777800888</x:v>
      </x:c>
      <x:c r="X140" s="19" t="str">
        <x:v>interior_minimum</x:v>
      </x:c>
      <x:c r="Y140" s="19" t="str">
        <x:v>valid</x:v>
      </x:c>
      <x:c r="Z140" s="24" t="n">
        <x:v>35</x:v>
      </x:c>
      <x:c r="AA140" s="24" t="n">
        <x:v>36</x:v>
      </x:c>
      <x:c r="AB140" s="19" t="str"/>
    </x:row>
    <x:row r="141" ht="15" hidden="0" customHeight="1">
      <x:c r="A141" s="19" t="str">
        <x:v>Eel 24</x:v>
      </x:c>
      <x:c r="B141" s="19" t="str">
        <x:v>E24SW18</x:v>
      </x:c>
      <x:c r="C141" s="19" t="str">
        <x:v>2012-01</x:v>
      </x:c>
      <x:c r="D141" s="19" t="n">
        <x:v>2011</x:v>
      </x:c>
      <x:c r="E141" s="19" t="str">
        <x:v>S1</x:v>
      </x:c>
      <x:c r="F141" s="19" t="n">
        <x:v>1</x:v>
      </x:c>
      <x:c r="G141" s="19" t="str">
        <x:v>SW18</x:v>
      </x:c>
      <x:c r="H141" s="19" t="str">
        <x:v>Seawater</x:v>
      </x:c>
      <x:c r="I141" s="24" t="n">
        <x:v>18</x:v>
      </x:c>
      <x:c r="J141" s="28" t="n">
        <x:v>93</x:v>
      </x:c>
      <x:c r="K141" s="28" t="n">
        <x:v>1366</x:v>
      </x:c>
      <x:c r="L141" s="28" t="n">
        <x:v>0.4</x:v>
      </x:c>
      <x:c r="M141" s="26" t="n">
        <x:f>IF(OR(L141="",J141=""),"",L141/(J141/100))</x:f>
        <x:v>0.43010752688172044</x:v>
      </x:c>
      <x:c r="N141" s="26" t="n">
        <x:v>60.07749653345537</x:v>
      </x:c>
      <x:c r="O141" s="26" t="n">
        <x:v>41.720483703788446</x:v>
      </x:c>
      <x:c r="P141" s="20" t="b">
        <x:v>0</x:v>
      </x:c>
      <x:c r="Q141" s="20" t="b">
        <x:v>1</x:v>
      </x:c>
      <x:c r="R141" s="20" t="b">
        <x:v>0</x:v>
      </x:c>
      <x:c r="S141" s="20" t="b">
        <x:v>1</x:v>
      </x:c>
      <x:c r="T141" s="19" t="str">
        <x:v>active_measured</x:v>
      </x:c>
      <x:c r="U141" s="26" t="n">
        <x:v>0.5</x:v>
      </x:c>
      <x:c r="V141" s="26" t="n">
        <x:v>40.82097654333827</x:v>
      </x:c>
      <x:c r="W141" s="26" t="n">
        <x:v>73.47775777800888</x:v>
      </x:c>
      <x:c r="X141" s="19" t="str">
        <x:v>interior_minimum</x:v>
      </x:c>
      <x:c r="Y141" s="19" t="str">
        <x:v>valid</x:v>
      </x:c>
      <x:c r="Z141" s="24" t="n">
        <x:v>35</x:v>
      </x:c>
      <x:c r="AA141" s="24" t="n">
        <x:v>36</x:v>
      </x:c>
      <x:c r="AB141" s="19" t="str"/>
    </x:row>
    <x:row r="142" ht="15" hidden="0" customHeight="1">
      <x:c r="A142" s="19" t="str">
        <x:v>Eel 24</x:v>
      </x:c>
      <x:c r="B142" s="19" t="str">
        <x:v>E24SW18</x:v>
      </x:c>
      <x:c r="C142" s="19" t="str">
        <x:v>2012-01</x:v>
      </x:c>
      <x:c r="D142" s="19" t="n">
        <x:v>2011</x:v>
      </x:c>
      <x:c r="E142" s="19" t="str">
        <x:v>S1</x:v>
      </x:c>
      <x:c r="F142" s="19" t="n">
        <x:v>1</x:v>
      </x:c>
      <x:c r="G142" s="19" t="str">
        <x:v>SW18</x:v>
      </x:c>
      <x:c r="H142" s="19" t="str">
        <x:v>Seawater</x:v>
      </x:c>
      <x:c r="I142" s="24" t="n">
        <x:v>18</x:v>
      </x:c>
      <x:c r="J142" s="28" t="n">
        <x:v>93</x:v>
      </x:c>
      <x:c r="K142" s="28" t="n">
        <x:v>1366</x:v>
      </x:c>
      <x:c r="L142" s="28" t="n">
        <x:v>0.5</x:v>
      </x:c>
      <x:c r="M142" s="26" t="n">
        <x:f>IF(OR(L142="",J142=""),"",L142/(J142/100))</x:f>
        <x:v>0.5376344086021505</x:v>
      </x:c>
      <x:c r="N142" s="26" t="n">
        <x:v>73.47775777800888</x:v>
      </x:c>
      <x:c r="O142" s="26" t="n">
        <x:v>40.82097654333827</x:v>
      </x:c>
      <x:c r="P142" s="20" t="b">
        <x:v>0</x:v>
      </x:c>
      <x:c r="Q142" s="20" t="b">
        <x:v>1</x:v>
      </x:c>
      <x:c r="R142" s="20" t="b">
        <x:v>1</x:v>
      </x:c>
      <x:c r="S142" s="20" t="b">
        <x:v>1</x:v>
      </x:c>
      <x:c r="T142" s="19" t="str">
        <x:v>uopt_speed</x:v>
      </x:c>
      <x:c r="U142" s="26" t="n">
        <x:v>0.5</x:v>
      </x:c>
      <x:c r="V142" s="26" t="n">
        <x:v>40.82097654333827</x:v>
      </x:c>
      <x:c r="W142" s="26" t="n">
        <x:v>73.47775777800888</x:v>
      </x:c>
      <x:c r="X142" s="19" t="str">
        <x:v>interior_minimum</x:v>
      </x:c>
      <x:c r="Y142" s="19" t="str">
        <x:v>valid</x:v>
      </x:c>
      <x:c r="Z142" s="24" t="n">
        <x:v>35</x:v>
      </x:c>
      <x:c r="AA142" s="24" t="n">
        <x:v>36</x:v>
      </x:c>
      <x:c r="AB142" s="19" t="str">
        <x:v>Uopt/minCOT occurs at an interior observed active speed.</x:v>
      </x:c>
    </x:row>
    <x:row r="143" ht="15" hidden="0" customHeight="1">
      <x:c r="A143" s="19" t="str">
        <x:v>Eel 24</x:v>
      </x:c>
      <x:c r="B143" s="19" t="str">
        <x:v>E24SW18</x:v>
      </x:c>
      <x:c r="C143" s="19" t="str">
        <x:v>2012-01</x:v>
      </x:c>
      <x:c r="D143" s="19" t="n">
        <x:v>2011</x:v>
      </x:c>
      <x:c r="E143" s="19" t="str">
        <x:v>S1</x:v>
      </x:c>
      <x:c r="F143" s="19" t="n">
        <x:v>1</x:v>
      </x:c>
      <x:c r="G143" s="19" t="str">
        <x:v>SW18</x:v>
      </x:c>
      <x:c r="H143" s="19" t="str">
        <x:v>Seawater</x:v>
      </x:c>
      <x:c r="I143" s="24" t="n">
        <x:v>18</x:v>
      </x:c>
      <x:c r="J143" s="28" t="n">
        <x:v>93</x:v>
      </x:c>
      <x:c r="K143" s="28" t="n">
        <x:v>1366</x:v>
      </x:c>
      <x:c r="L143" s="28" t="n">
        <x:v>0.6</x:v>
      </x:c>
      <x:c r="M143" s="26" t="n">
        <x:f>IF(OR(L143="",J143=""),"",L143/(J143/100))</x:f>
        <x:v>0.6451612903225806</x:v>
      </x:c>
      <x:c r="N143" s="26" t="n">
        <x:v>93.63141210603959</x:v>
      </x:c>
      <x:c r="O143" s="26" t="n">
        <x:v>43.347875975018326</x:v>
      </x:c>
      <x:c r="P143" s="20" t="b">
        <x:v>0</x:v>
      </x:c>
      <x:c r="Q143" s="20" t="b">
        <x:v>1</x:v>
      </x:c>
      <x:c r="R143" s="20" t="b">
        <x:v>0</x:v>
      </x:c>
      <x:c r="S143" s="20" t="b">
        <x:v>1</x:v>
      </x:c>
      <x:c r="T143" s="19" t="str">
        <x:v>active_measured</x:v>
      </x:c>
      <x:c r="U143" s="26" t="n">
        <x:v>0.5</x:v>
      </x:c>
      <x:c r="V143" s="26" t="n">
        <x:v>40.82097654333827</x:v>
      </x:c>
      <x:c r="W143" s="26" t="n">
        <x:v>73.47775777800888</x:v>
      </x:c>
      <x:c r="X143" s="19" t="str">
        <x:v>interior_minimum</x:v>
      </x:c>
      <x:c r="Y143" s="19" t="str">
        <x:v>valid</x:v>
      </x:c>
      <x:c r="Z143" s="24" t="n">
        <x:v>35</x:v>
      </x:c>
      <x:c r="AA143" s="24" t="n">
        <x:v>36</x:v>
      </x:c>
      <x:c r="AB143" s="19" t="str"/>
    </x:row>
    <x:row r="144" ht="15" hidden="0" customHeight="1">
      <x:c r="A144" s="19" t="str">
        <x:v>Eel 25</x:v>
      </x:c>
      <x:c r="B144" s="19" t="str">
        <x:v>E25SW18</x:v>
      </x:c>
      <x:c r="C144" s="19" t="str">
        <x:v>2012-01</x:v>
      </x:c>
      <x:c r="D144" s="19" t="n">
        <x:v>2011</x:v>
      </x:c>
      <x:c r="E144" s="19" t="str">
        <x:v>S1</x:v>
      </x:c>
      <x:c r="F144" s="19" t="n">
        <x:v>1</x:v>
      </x:c>
      <x:c r="G144" s="19" t="str">
        <x:v>SW18</x:v>
      </x:c>
      <x:c r="H144" s="19" t="str">
        <x:v>Seawater</x:v>
      </x:c>
      <x:c r="I144" s="24" t="n">
        <x:v>18</x:v>
      </x:c>
      <x:c r="J144" s="28" t="n">
        <x:v>91</x:v>
      </x:c>
      <x:c r="K144" s="28" t="n">
        <x:v>1060</x:v>
      </x:c>
      <x:c r="L144" s="28" t="n">
        <x:v>0.1</x:v>
      </x:c>
      <x:c r="M144" s="26" t="n">
        <x:f>IF(OR(L144="",J144=""),"",L144/(J144/100))</x:f>
        <x:v>0.10989010989010989</x:v>
      </x:c>
      <x:c r="N144" s="26" t="n">
        <x:v>47.073320367622586</x:v>
      </x:c>
      <x:c r="O144" s="26" t="n">
        <x:v>130.75922324339606</x:v>
      </x:c>
      <x:c r="P144" s="20" t="b">
        <x:v>1</x:v>
      </x:c>
      <x:c r="Q144" s="20" t="b">
        <x:v>0</x:v>
      </x:c>
      <x:c r="R144" s="20" t="b">
        <x:v>0</x:v>
      </x:c>
      <x:c r="S144" s="20" t="b">
        <x:v>0</x:v>
      </x:c>
      <x:c r="T144" s="19" t="str">
        <x:v>lowflow_0.1_m_s</x:v>
      </x:c>
      <x:c r="U144" s="26" t="n">
        <x:v>0.4</x:v>
      </x:c>
      <x:c r="V144" s="26" t="n">
        <x:v>50.45382049457544</x:v>
      </x:c>
      <x:c r="W144" s="26" t="n">
        <x:v>72.65350151218864</x:v>
      </x:c>
      <x:c r="X144" s="19" t="str">
        <x:v>lowest_active_speed</x:v>
      </x:c>
      <x:c r="Y144" s="19" t="str">
        <x:v>boundary_estimate</x:v>
      </x:c>
      <x:c r="Z144" s="24" t="n">
        <x:v>36</x:v>
      </x:c>
      <x:c r="AA144" s="24" t="n">
        <x:v>37</x:v>
      </x:c>
      <x:c r="AB144" s="19" t="str"/>
    </x:row>
    <x:row r="145" ht="15" hidden="0" customHeight="1">
      <x:c r="A145" s="19" t="str">
        <x:v>Eel 25</x:v>
      </x:c>
      <x:c r="B145" s="19" t="str">
        <x:v>E25SW18</x:v>
      </x:c>
      <x:c r="C145" s="19" t="str">
        <x:v>2012-01</x:v>
      </x:c>
      <x:c r="D145" s="19" t="n">
        <x:v>2011</x:v>
      </x:c>
      <x:c r="E145" s="19" t="str">
        <x:v>S1</x:v>
      </x:c>
      <x:c r="F145" s="19" t="n">
        <x:v>1</x:v>
      </x:c>
      <x:c r="G145" s="19" t="str">
        <x:v>SW18</x:v>
      </x:c>
      <x:c r="H145" s="19" t="str">
        <x:v>Seawater</x:v>
      </x:c>
      <x:c r="I145" s="24" t="n">
        <x:v>18</x:v>
      </x:c>
      <x:c r="J145" s="28" t="n">
        <x:v>91</x:v>
      </x:c>
      <x:c r="K145" s="28" t="n">
        <x:v>1060</x:v>
      </x:c>
      <x:c r="L145" s="28" t="n">
        <x:v>0.4</x:v>
      </x:c>
      <x:c r="M145" s="26" t="n">
        <x:f>IF(OR(L145="",J145=""),"",L145/(J145/100))</x:f>
        <x:v>0.43956043956043955</x:v>
      </x:c>
      <x:c r="N145" s="26" t="n">
        <x:v>72.65350151218864</x:v>
      </x:c>
      <x:c r="O145" s="26" t="n">
        <x:v>50.45382049457544</x:v>
      </x:c>
      <x:c r="P145" s="20" t="b">
        <x:v>0</x:v>
      </x:c>
      <x:c r="Q145" s="20" t="b">
        <x:v>1</x:v>
      </x:c>
      <x:c r="R145" s="20" t="b">
        <x:v>1</x:v>
      </x:c>
      <x:c r="S145" s="20" t="b">
        <x:v>1</x:v>
      </x:c>
      <x:c r="T145" s="19" t="str">
        <x:v>uopt_speed</x:v>
      </x:c>
      <x:c r="U145" s="26" t="n">
        <x:v>0.4</x:v>
      </x:c>
      <x:c r="V145" s="26" t="n">
        <x:v>50.45382049457544</x:v>
      </x:c>
      <x:c r="W145" s="26" t="n">
        <x:v>72.65350151218864</x:v>
      </x:c>
      <x:c r="X145" s="19" t="str">
        <x:v>lowest_active_speed</x:v>
      </x:c>
      <x:c r="Y145" s="19" t="str">
        <x:v>boundary_estimate</x:v>
      </x:c>
      <x:c r="Z145" s="24" t="n">
        <x:v>36</x:v>
      </x:c>
      <x:c r="AA145" s="24" t="n">
        <x:v>37</x:v>
      </x:c>
      <x:c r="AB145" s="19" t="str">
        <x:v>Uopt/minCOT occurs at lowest active speed; treated as boundary_estimate in Table S2.</x:v>
      </x:c>
    </x:row>
    <x:row r="146" ht="15" hidden="0" customHeight="1">
      <x:c r="A146" s="19" t="str">
        <x:v>Eel 25</x:v>
      </x:c>
      <x:c r="B146" s="19" t="str">
        <x:v>E25SW18</x:v>
      </x:c>
      <x:c r="C146" s="19" t="str">
        <x:v>2012-01</x:v>
      </x:c>
      <x:c r="D146" s="19" t="n">
        <x:v>2011</x:v>
      </x:c>
      <x:c r="E146" s="19" t="str">
        <x:v>S1</x:v>
      </x:c>
      <x:c r="F146" s="19" t="n">
        <x:v>1</x:v>
      </x:c>
      <x:c r="G146" s="19" t="str">
        <x:v>SW18</x:v>
      </x:c>
      <x:c r="H146" s="19" t="str">
        <x:v>Seawater</x:v>
      </x:c>
      <x:c r="I146" s="24" t="n">
        <x:v>18</x:v>
      </x:c>
      <x:c r="J146" s="28" t="n">
        <x:v>91</x:v>
      </x:c>
      <x:c r="K146" s="28" t="n">
        <x:v>1060</x:v>
      </x:c>
      <x:c r="L146" s="28" t="n">
        <x:v>0.5</x:v>
      </x:c>
      <x:c r="M146" s="26" t="n">
        <x:f>IF(OR(L146="",J146=""),"",L146/(J146/100))</x:f>
        <x:v>0.5494505494505494</x:v>
      </x:c>
      <x:c r="N146" s="26" t="n">
        <x:v>91.64326893464143</x:v>
      </x:c>
      <x:c r="O146" s="26" t="n">
        <x:v>50.912927185911904</x:v>
      </x:c>
      <x:c r="P146" s="20" t="b">
        <x:v>0</x:v>
      </x:c>
      <x:c r="Q146" s="20" t="b">
        <x:v>1</x:v>
      </x:c>
      <x:c r="R146" s="20" t="b">
        <x:v>0</x:v>
      </x:c>
      <x:c r="S146" s="20" t="b">
        <x:v>1</x:v>
      </x:c>
      <x:c r="T146" s="19" t="str">
        <x:v>active_measured</x:v>
      </x:c>
      <x:c r="U146" s="26" t="n">
        <x:v>0.4</x:v>
      </x:c>
      <x:c r="V146" s="26" t="n">
        <x:v>50.45382049457544</x:v>
      </x:c>
      <x:c r="W146" s="26" t="n">
        <x:v>72.65350151218864</x:v>
      </x:c>
      <x:c r="X146" s="19" t="str">
        <x:v>lowest_active_speed</x:v>
      </x:c>
      <x:c r="Y146" s="19" t="str">
        <x:v>boundary_estimate</x:v>
      </x:c>
      <x:c r="Z146" s="24" t="n">
        <x:v>36</x:v>
      </x:c>
      <x:c r="AA146" s="24" t="n">
        <x:v>37</x:v>
      </x:c>
      <x:c r="AB146" s="19" t="str"/>
    </x:row>
    <x:row r="147" ht="15" hidden="0" customHeight="1">
      <x:c r="A147" s="19" t="str">
        <x:v>Eel 25</x:v>
      </x:c>
      <x:c r="B147" s="19" t="str">
        <x:v>E25SW18</x:v>
      </x:c>
      <x:c r="C147" s="19" t="str">
        <x:v>2012-01</x:v>
      </x:c>
      <x:c r="D147" s="19" t="n">
        <x:v>2011</x:v>
      </x:c>
      <x:c r="E147" s="19" t="str">
        <x:v>S1</x:v>
      </x:c>
      <x:c r="F147" s="19" t="n">
        <x:v>1</x:v>
      </x:c>
      <x:c r="G147" s="19" t="str">
        <x:v>SW18</x:v>
      </x:c>
      <x:c r="H147" s="19" t="str">
        <x:v>Seawater</x:v>
      </x:c>
      <x:c r="I147" s="24" t="n">
        <x:v>18</x:v>
      </x:c>
      <x:c r="J147" s="28" t="n">
        <x:v>91</x:v>
      </x:c>
      <x:c r="K147" s="28" t="n">
        <x:v>1060</x:v>
      </x:c>
      <x:c r="L147" s="28" t="n">
        <x:v>0.6</x:v>
      </x:c>
      <x:c r="M147" s="26" t="n">
        <x:f>IF(OR(L147="",J147=""),"",L147/(J147/100))</x:f>
        <x:v>0.6593406593406593</x:v>
      </x:c>
      <x:c r="N147" s="26" t="n">
        <x:v>110.78518657924532</x:v>
      </x:c>
      <x:c r="O147" s="26" t="n">
        <x:v>51.28943823113209</x:v>
      </x:c>
      <x:c r="P147" s="20" t="b">
        <x:v>0</x:v>
      </x:c>
      <x:c r="Q147" s="20" t="b">
        <x:v>1</x:v>
      </x:c>
      <x:c r="R147" s="20" t="b">
        <x:v>0</x:v>
      </x:c>
      <x:c r="S147" s="20" t="b">
        <x:v>1</x:v>
      </x:c>
      <x:c r="T147" s="19" t="str">
        <x:v>active_measured</x:v>
      </x:c>
      <x:c r="U147" s="26" t="n">
        <x:v>0.4</x:v>
      </x:c>
      <x:c r="V147" s="26" t="n">
        <x:v>50.45382049457544</x:v>
      </x:c>
      <x:c r="W147" s="26" t="n">
        <x:v>72.65350151218864</x:v>
      </x:c>
      <x:c r="X147" s="19" t="str">
        <x:v>lowest_active_speed</x:v>
      </x:c>
      <x:c r="Y147" s="19" t="str">
        <x:v>boundary_estimate</x:v>
      </x:c>
      <x:c r="Z147" s="24" t="n">
        <x:v>36</x:v>
      </x:c>
      <x:c r="AA147" s="24" t="n">
        <x:v>37</x:v>
      </x:c>
      <x:c r="AB147" s="19" t="str"/>
    </x:row>
  </x:sheetData>
  <x:conditionalFormatting sqref="R2:R147">
    <x:cfRule type="cellIs" dxfId="0" priority="1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436448a9e8a468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5" hidden="0" customHeight="1">
      <x:c r="A1" s="18" t="str">
        <x:v>experimental_condition</x:v>
      </x:c>
      <x:c r="B1" s="18" t="str">
        <x:v>silvering_stage</x:v>
      </x:c>
      <x:c r="C1" s="18" t="str">
        <x:v>swimming_speed_m_s</x:v>
      </x:c>
      <x:c r="D1" s="18" t="str">
        <x:v>n_trials_with_mo2</x:v>
      </x:c>
      <x:c r="E1" s="18" t="str">
        <x:v>n_trials_with_cot</x:v>
      </x:c>
      <x:c r="F1" s="18" t="str">
        <x:v>n_trials_used_for_active_metrics</x:v>
      </x:c>
      <x:c r="G1" s="18" t="str">
        <x:v>n_uopt_speed</x:v>
      </x:c>
    </x:row>
    <x:row r="2" ht="15" hidden="0" customHeight="1">
      <x:c r="A2" s="19" t="str">
        <x:v>FW25</x:v>
      </x:c>
      <x:c r="B2" s="19" t="str">
        <x:v>Y1</x:v>
      </x:c>
      <x:c r="C2" s="28" t="n">
        <x:v>0.1</x:v>
      </x:c>
      <x:c r="D2" s="24" t="n">
        <x:v>5</x:v>
      </x:c>
      <x:c r="E2" s="24" t="n">
        <x:v>5</x:v>
      </x:c>
      <x:c r="F2" s="24" t="n">
        <x:v>0</x:v>
      </x:c>
      <x:c r="G2" s="24" t="n">
        <x:v>0</x:v>
      </x:c>
    </x:row>
    <x:row r="3" ht="15" hidden="0" customHeight="1">
      <x:c r="A3" s="19" t="str">
        <x:v>FW25</x:v>
      </x:c>
      <x:c r="B3" s="19" t="str">
        <x:v>Y1</x:v>
      </x:c>
      <x:c r="C3" s="28" t="n">
        <x:v>0.4</x:v>
      </x:c>
      <x:c r="D3" s="24" t="n">
        <x:v>5</x:v>
      </x:c>
      <x:c r="E3" s="24" t="n">
        <x:v>5</x:v>
      </x:c>
      <x:c r="F3" s="24" t="n">
        <x:v>5</x:v>
      </x:c>
      <x:c r="G3" s="24" t="n">
        <x:v>2</x:v>
      </x:c>
    </x:row>
    <x:row r="4" ht="15" hidden="0" customHeight="1">
      <x:c r="A4" s="19" t="str">
        <x:v>FW25</x:v>
      </x:c>
      <x:c r="B4" s="19" t="str">
        <x:v>Y1</x:v>
      </x:c>
      <x:c r="C4" s="28" t="n">
        <x:v>0.5</x:v>
      </x:c>
      <x:c r="D4" s="24" t="n">
        <x:v>4</x:v>
      </x:c>
      <x:c r="E4" s="24" t="n">
        <x:v>4</x:v>
      </x:c>
      <x:c r="F4" s="24" t="n">
        <x:v>4</x:v>
      </x:c>
      <x:c r="G4" s="24" t="n">
        <x:v>2</x:v>
      </x:c>
    </x:row>
    <x:row r="5" ht="15" hidden="0" customHeight="1">
      <x:c r="A5" s="19" t="str">
        <x:v>FW25</x:v>
      </x:c>
      <x:c r="B5" s="19" t="str">
        <x:v>Y1</x:v>
      </x:c>
      <x:c r="C5" s="28" t="n">
        <x:v>0.6</x:v>
      </x:c>
      <x:c r="D5" s="24" t="n">
        <x:v>1</x:v>
      </x:c>
      <x:c r="E5" s="24" t="n">
        <x:v>1</x:v>
      </x:c>
      <x:c r="F5" s="24" t="n">
        <x:v>1</x:v>
      </x:c>
      <x:c r="G5" s="24" t="n">
        <x:v>1</x:v>
      </x:c>
    </x:row>
    <x:row r="6" ht="15" hidden="0" customHeight="1">
      <x:c r="A6" s="19" t="str">
        <x:v>FW25</x:v>
      </x:c>
      <x:c r="B6" s="19" t="str">
        <x:v>Y2</x:v>
      </x:c>
      <x:c r="C6" s="28" t="n">
        <x:v>0.1</x:v>
      </x:c>
      <x:c r="D6" s="24" t="n">
        <x:v>4</x:v>
      </x:c>
      <x:c r="E6" s="24" t="n">
        <x:v>4</x:v>
      </x:c>
      <x:c r="F6" s="24" t="n">
        <x:v>0</x:v>
      </x:c>
      <x:c r="G6" s="24" t="n">
        <x:v>0</x:v>
      </x:c>
    </x:row>
    <x:row r="7" ht="15" hidden="0" customHeight="1">
      <x:c r="A7" s="19" t="str">
        <x:v>FW25</x:v>
      </x:c>
      <x:c r="B7" s="19" t="str">
        <x:v>Y2</x:v>
      </x:c>
      <x:c r="C7" s="28" t="n">
        <x:v>0.4</x:v>
      </x:c>
      <x:c r="D7" s="24" t="n">
        <x:v>4</x:v>
      </x:c>
      <x:c r="E7" s="24" t="n">
        <x:v>4</x:v>
      </x:c>
      <x:c r="F7" s="24" t="n">
        <x:v>4</x:v>
      </x:c>
      <x:c r="G7" s="24" t="n">
        <x:v>1</x:v>
      </x:c>
    </x:row>
    <x:row r="8" ht="15" hidden="0" customHeight="1">
      <x:c r="A8" s="19" t="str">
        <x:v>FW25</x:v>
      </x:c>
      <x:c r="B8" s="19" t="str">
        <x:v>Y2</x:v>
      </x:c>
      <x:c r="C8" s="28" t="n">
        <x:v>0.5</x:v>
      </x:c>
      <x:c r="D8" s="24" t="n">
        <x:v>4</x:v>
      </x:c>
      <x:c r="E8" s="24" t="n">
        <x:v>4</x:v>
      </x:c>
      <x:c r="F8" s="24" t="n">
        <x:v>4</x:v>
      </x:c>
      <x:c r="G8" s="24" t="n">
        <x:v>1</x:v>
      </x:c>
    </x:row>
    <x:row r="9" ht="15" hidden="0" customHeight="1">
      <x:c r="A9" s="19" t="str">
        <x:v>FW25</x:v>
      </x:c>
      <x:c r="B9" s="19" t="str">
        <x:v>Y2</x:v>
      </x:c>
      <x:c r="C9" s="28" t="n">
        <x:v>0.6</x:v>
      </x:c>
      <x:c r="D9" s="24" t="n">
        <x:v>3</x:v>
      </x:c>
      <x:c r="E9" s="24" t="n">
        <x:v>3</x:v>
      </x:c>
      <x:c r="F9" s="24" t="n">
        <x:v>3</x:v>
      </x:c>
      <x:c r="G9" s="24" t="n">
        <x:v>0</x:v>
      </x:c>
    </x:row>
    <x:row r="10" ht="15" hidden="0" customHeight="1">
      <x:c r="A10" s="19" t="str">
        <x:v>FW25</x:v>
      </x:c>
      <x:c r="B10" s="19" t="str">
        <x:v>Y2</x:v>
      </x:c>
      <x:c r="C10" s="28" t="n">
        <x:v>0.7</x:v>
      </x:c>
      <x:c r="D10" s="24" t="n">
        <x:v>2</x:v>
      </x:c>
      <x:c r="E10" s="24" t="n">
        <x:v>2</x:v>
      </x:c>
      <x:c r="F10" s="24" t="n">
        <x:v>2</x:v>
      </x:c>
      <x:c r="G10" s="24" t="n">
        <x:v>1</x:v>
      </x:c>
    </x:row>
    <x:row r="11" ht="15" hidden="0" customHeight="1">
      <x:c r="A11" s="19" t="str">
        <x:v>FW25</x:v>
      </x:c>
      <x:c r="B11" s="19" t="str">
        <x:v>Y2</x:v>
      </x:c>
      <x:c r="C11" s="28" t="n">
        <x:v>0.8</x:v>
      </x:c>
      <x:c r="D11" s="24" t="n">
        <x:v>2</x:v>
      </x:c>
      <x:c r="E11" s="24" t="n">
        <x:v>2</x:v>
      </x:c>
      <x:c r="F11" s="24" t="n">
        <x:v>2</x:v>
      </x:c>
      <x:c r="G11" s="24" t="n">
        <x:v>1</x:v>
      </x:c>
    </x:row>
    <x:row r="12" ht="15" hidden="0" customHeight="1">
      <x:c r="A12" s="19" t="str">
        <x:v>FW25</x:v>
      </x:c>
      <x:c r="B12" s="19" t="str">
        <x:v>Y2</x:v>
      </x:c>
      <x:c r="C12" s="28" t="n">
        <x:v>0.9</x:v>
      </x:c>
      <x:c r="D12" s="24" t="n">
        <x:v>2</x:v>
      </x:c>
      <x:c r="E12" s="24" t="n">
        <x:v>2</x:v>
      </x:c>
      <x:c r="F12" s="24" t="n">
        <x:v>2</x:v>
      </x:c>
      <x:c r="G12" s="24" t="n">
        <x:v>0</x:v>
      </x:c>
    </x:row>
    <x:row r="13" ht="15" hidden="0" customHeight="1">
      <x:c r="A13" s="19" t="str">
        <x:v>FW25</x:v>
      </x:c>
      <x:c r="B13" s="19" t="str">
        <x:v>Y2</x:v>
      </x:c>
      <x:c r="C13" s="28" t="n">
        <x:v>1</x:v>
      </x:c>
      <x:c r="D13" s="24" t="n">
        <x:v>2</x:v>
      </x:c>
      <x:c r="E13" s="24" t="n">
        <x:v>2</x:v>
      </x:c>
      <x:c r="F13" s="24" t="n">
        <x:v>2</x:v>
      </x:c>
      <x:c r="G13" s="24" t="n">
        <x:v>0</x:v>
      </x:c>
    </x:row>
    <x:row r="14" ht="15" hidden="0" customHeight="1">
      <x:c r="A14" s="19" t="str">
        <x:v>FW25</x:v>
      </x:c>
      <x:c r="B14" s="19" t="str">
        <x:v>Y2</x:v>
      </x:c>
      <x:c r="C14" s="28" t="n">
        <x:v>1.1</x:v>
      </x:c>
      <x:c r="D14" s="24" t="n">
        <x:v>1</x:v>
      </x:c>
      <x:c r="E14" s="24" t="n">
        <x:v>1</x:v>
      </x:c>
      <x:c r="F14" s="24" t="n">
        <x:v>1</x:v>
      </x:c>
      <x:c r="G14" s="24" t="n">
        <x:v>0</x:v>
      </x:c>
    </x:row>
    <x:row r="15" ht="15" hidden="0" customHeight="1">
      <x:c r="A15" s="19" t="str">
        <x:v>FW25</x:v>
      </x:c>
      <x:c r="B15" s="19" t="str">
        <x:v>Y2</x:v>
      </x:c>
      <x:c r="C15" s="28" t="n">
        <x:v>1.2</x:v>
      </x:c>
      <x:c r="D15" s="24" t="n">
        <x:v>1</x:v>
      </x:c>
      <x:c r="E15" s="24" t="n">
        <x:v>1</x:v>
      </x:c>
      <x:c r="F15" s="24" t="n">
        <x:v>1</x:v>
      </x:c>
      <x:c r="G15" s="24" t="n">
        <x:v>0</x:v>
      </x:c>
    </x:row>
    <x:row r="16" ht="15" hidden="0" customHeight="1">
      <x:c r="A16" s="19" t="str">
        <x:v>FW25</x:v>
      </x:c>
      <x:c r="B16" s="19" t="str">
        <x:v>Y2</x:v>
      </x:c>
      <x:c r="C16" s="28" t="n">
        <x:v>1.3</x:v>
      </x:c>
      <x:c r="D16" s="24" t="n">
        <x:v>1</x:v>
      </x:c>
      <x:c r="E16" s="24" t="n">
        <x:v>1</x:v>
      </x:c>
      <x:c r="F16" s="24" t="n">
        <x:v>1</x:v>
      </x:c>
      <x:c r="G16" s="24" t="n">
        <x:v>0</x:v>
      </x:c>
    </x:row>
    <x:row r="17" ht="15" hidden="0" customHeight="1">
      <x:c r="A17" s="19" t="str">
        <x:v>FW18</x:v>
      </x:c>
      <x:c r="B17" s="19" t="str">
        <x:v>Y1</x:v>
      </x:c>
      <x:c r="C17" s="28" t="n">
        <x:v>0.1</x:v>
      </x:c>
      <x:c r="D17" s="24" t="n">
        <x:v>5</x:v>
      </x:c>
      <x:c r="E17" s="24" t="n">
        <x:v>5</x:v>
      </x:c>
      <x:c r="F17" s="24" t="n">
        <x:v>0</x:v>
      </x:c>
      <x:c r="G17" s="24" t="n">
        <x:v>0</x:v>
      </x:c>
    </x:row>
    <x:row r="18" ht="15" hidden="0" customHeight="1">
      <x:c r="A18" s="19" t="str">
        <x:v>FW18</x:v>
      </x:c>
      <x:c r="B18" s="19" t="str">
        <x:v>Y1</x:v>
      </x:c>
      <x:c r="C18" s="28" t="n">
        <x:v>0.4</x:v>
      </x:c>
      <x:c r="D18" s="24" t="n">
        <x:v>2</x:v>
      </x:c>
      <x:c r="E18" s="24" t="n">
        <x:v>2</x:v>
      </x:c>
      <x:c r="F18" s="24" t="n">
        <x:v>2</x:v>
      </x:c>
      <x:c r="G18" s="24" t="n">
        <x:v>0</x:v>
      </x:c>
    </x:row>
    <x:row r="19" ht="15" hidden="0" customHeight="1">
      <x:c r="A19" s="19" t="str">
        <x:v>FW18</x:v>
      </x:c>
      <x:c r="B19" s="19" t="str">
        <x:v>Y1</x:v>
      </x:c>
      <x:c r="C19" s="28" t="n">
        <x:v>0.5</x:v>
      </x:c>
      <x:c r="D19" s="24" t="n">
        <x:v>2</x:v>
      </x:c>
      <x:c r="E19" s="24" t="n">
        <x:v>2</x:v>
      </x:c>
      <x:c r="F19" s="24" t="n">
        <x:v>2</x:v>
      </x:c>
      <x:c r="G19" s="24" t="n">
        <x:v>1</x:v>
      </x:c>
    </x:row>
    <x:row r="20" ht="15" hidden="0" customHeight="1">
      <x:c r="A20" s="19" t="str">
        <x:v>FW18</x:v>
      </x:c>
      <x:c r="B20" s="19" t="str">
        <x:v>Y1</x:v>
      </x:c>
      <x:c r="C20" s="28" t="n">
        <x:v>0.6</x:v>
      </x:c>
      <x:c r="D20" s="24" t="n">
        <x:v>2</x:v>
      </x:c>
      <x:c r="E20" s="24" t="n">
        <x:v>2</x:v>
      </x:c>
      <x:c r="F20" s="24" t="n">
        <x:v>2</x:v>
      </x:c>
      <x:c r="G20" s="24" t="n">
        <x:v>0</x:v>
      </x:c>
    </x:row>
    <x:row r="21" ht="15" hidden="0" customHeight="1">
      <x:c r="A21" s="19" t="str">
        <x:v>FW18</x:v>
      </x:c>
      <x:c r="B21" s="19" t="str">
        <x:v>Y1</x:v>
      </x:c>
      <x:c r="C21" s="28" t="n">
        <x:v>0.7</x:v>
      </x:c>
      <x:c r="D21" s="24" t="n">
        <x:v>2</x:v>
      </x:c>
      <x:c r="E21" s="24" t="n">
        <x:v>2</x:v>
      </x:c>
      <x:c r="F21" s="24" t="n">
        <x:v>2</x:v>
      </x:c>
      <x:c r="G21" s="24" t="n">
        <x:v>0</x:v>
      </x:c>
    </x:row>
    <x:row r="22" ht="15" hidden="0" customHeight="1">
      <x:c r="A22" s="19" t="str">
        <x:v>FW18</x:v>
      </x:c>
      <x:c r="B22" s="19" t="str">
        <x:v>Y1</x:v>
      </x:c>
      <x:c r="C22" s="28" t="n">
        <x:v>0.8</x:v>
      </x:c>
      <x:c r="D22" s="24" t="n">
        <x:v>1</x:v>
      </x:c>
      <x:c r="E22" s="24" t="n">
        <x:v>1</x:v>
      </x:c>
      <x:c r="F22" s="24" t="n">
        <x:v>1</x:v>
      </x:c>
      <x:c r="G22" s="24" t="n">
        <x:v>1</x:v>
      </x:c>
    </x:row>
    <x:row r="23" ht="15" hidden="0" customHeight="1">
      <x:c r="A23" s="19" t="str">
        <x:v>FW18</x:v>
      </x:c>
      <x:c r="B23" s="19" t="str">
        <x:v>Y1</x:v>
      </x:c>
      <x:c r="C23" s="28" t="n">
        <x:v>0.9</x:v>
      </x:c>
      <x:c r="D23" s="24" t="n">
        <x:v>1</x:v>
      </x:c>
      <x:c r="E23" s="24" t="n">
        <x:v>1</x:v>
      </x:c>
      <x:c r="F23" s="24" t="n">
        <x:v>1</x:v>
      </x:c>
      <x:c r="G23" s="24" t="n">
        <x:v>0</x:v>
      </x:c>
    </x:row>
    <x:row r="24" ht="15" hidden="0" customHeight="1">
      <x:c r="A24" s="19" t="str">
        <x:v>FW18</x:v>
      </x:c>
      <x:c r="B24" s="19" t="str">
        <x:v>Y1</x:v>
      </x:c>
      <x:c r="C24" s="28" t="n">
        <x:v>1</x:v>
      </x:c>
      <x:c r="D24" s="24" t="n">
        <x:v>1</x:v>
      </x:c>
      <x:c r="E24" s="24" t="n">
        <x:v>1</x:v>
      </x:c>
      <x:c r="F24" s="24" t="n">
        <x:v>1</x:v>
      </x:c>
      <x:c r="G24" s="24" t="n">
        <x:v>0</x:v>
      </x:c>
    </x:row>
    <x:row r="25" ht="15" hidden="0" customHeight="1">
      <x:c r="A25" s="19" t="str">
        <x:v>FW18</x:v>
      </x:c>
      <x:c r="B25" s="19" t="str">
        <x:v>Y2</x:v>
      </x:c>
      <x:c r="C25" s="28" t="n">
        <x:v>0.1</x:v>
      </x:c>
      <x:c r="D25" s="24" t="n">
        <x:v>5</x:v>
      </x:c>
      <x:c r="E25" s="24" t="n">
        <x:v>5</x:v>
      </x:c>
      <x:c r="F25" s="24" t="n">
        <x:v>0</x:v>
      </x:c>
      <x:c r="G25" s="24" t="n">
        <x:v>0</x:v>
      </x:c>
    </x:row>
    <x:row r="26" ht="15" hidden="0" customHeight="1">
      <x:c r="A26" s="19" t="str">
        <x:v>FW18</x:v>
      </x:c>
      <x:c r="B26" s="19" t="str">
        <x:v>Y2</x:v>
      </x:c>
      <x:c r="C26" s="28" t="n">
        <x:v>0.4</x:v>
      </x:c>
      <x:c r="D26" s="24" t="n">
        <x:v>2</x:v>
      </x:c>
      <x:c r="E26" s="24" t="n">
        <x:v>2</x:v>
      </x:c>
      <x:c r="F26" s="24" t="n">
        <x:v>2</x:v>
      </x:c>
      <x:c r="G26" s="24" t="n">
        <x:v>1</x:v>
      </x:c>
    </x:row>
    <x:row r="27" ht="15" hidden="0" customHeight="1">
      <x:c r="A27" s="19" t="str">
        <x:v>FW18</x:v>
      </x:c>
      <x:c r="B27" s="19" t="str">
        <x:v>Y2</x:v>
      </x:c>
      <x:c r="C27" s="28" t="n">
        <x:v>0.5</x:v>
      </x:c>
      <x:c r="D27" s="24" t="n">
        <x:v>1</x:v>
      </x:c>
      <x:c r="E27" s="24" t="n">
        <x:v>1</x:v>
      </x:c>
      <x:c r="F27" s="24" t="n">
        <x:v>1</x:v>
      </x:c>
      <x:c r="G27" s="24" t="n">
        <x:v>0</x:v>
      </x:c>
    </x:row>
    <x:row r="28" ht="15" hidden="0" customHeight="1">
      <x:c r="A28" s="19" t="str">
        <x:v>FW18</x:v>
      </x:c>
      <x:c r="B28" s="19" t="str">
        <x:v>Y2</x:v>
      </x:c>
      <x:c r="C28" s="28" t="n">
        <x:v>0.6</x:v>
      </x:c>
      <x:c r="D28" s="24" t="n">
        <x:v>1</x:v>
      </x:c>
      <x:c r="E28" s="24" t="n">
        <x:v>1</x:v>
      </x:c>
      <x:c r="F28" s="24" t="n">
        <x:v>1</x:v>
      </x:c>
      <x:c r="G28" s="24" t="n">
        <x:v>0</x:v>
      </x:c>
    </x:row>
    <x:row r="29" ht="15" hidden="0" customHeight="1">
      <x:c r="A29" s="19" t="str">
        <x:v>FW18</x:v>
      </x:c>
      <x:c r="B29" s="19" t="str">
        <x:v>Y2</x:v>
      </x:c>
      <x:c r="C29" s="28" t="n">
        <x:v>0.7</x:v>
      </x:c>
      <x:c r="D29" s="24" t="n">
        <x:v>1</x:v>
      </x:c>
      <x:c r="E29" s="24" t="n">
        <x:v>1</x:v>
      </x:c>
      <x:c r="F29" s="24" t="n">
        <x:v>1</x:v>
      </x:c>
      <x:c r="G29" s="24" t="n">
        <x:v>1</x:v>
      </x:c>
    </x:row>
    <x:row r="30" ht="15" hidden="0" customHeight="1">
      <x:c r="A30" s="19" t="str">
        <x:v>FW18</x:v>
      </x:c>
      <x:c r="B30" s="19" t="str">
        <x:v>Y2</x:v>
      </x:c>
      <x:c r="C30" s="28" t="n">
        <x:v>0.8</x:v>
      </x:c>
      <x:c r="D30" s="24" t="n">
        <x:v>1</x:v>
      </x:c>
      <x:c r="E30" s="24" t="n">
        <x:v>1</x:v>
      </x:c>
      <x:c r="F30" s="24" t="n">
        <x:v>1</x:v>
      </x:c>
      <x:c r="G30" s="24" t="n">
        <x:v>0</x:v>
      </x:c>
    </x:row>
    <x:row r="31" ht="15" hidden="0" customHeight="1">
      <x:c r="A31" s="19" t="str">
        <x:v>FW18</x:v>
      </x:c>
      <x:c r="B31" s="19" t="str">
        <x:v>Y2</x:v>
      </x:c>
      <x:c r="C31" s="28" t="n">
        <x:v>0.9</x:v>
      </x:c>
      <x:c r="D31" s="24" t="n">
        <x:v>1</x:v>
      </x:c>
      <x:c r="E31" s="24" t="n">
        <x:v>1</x:v>
      </x:c>
      <x:c r="F31" s="24" t="n">
        <x:v>1</x:v>
      </x:c>
      <x:c r="G31" s="24" t="n">
        <x:v>0</x:v>
      </x:c>
    </x:row>
    <x:row r="32" ht="15" hidden="0" customHeight="1">
      <x:c r="A32" s="19" t="str">
        <x:v>SW18</x:v>
      </x:c>
      <x:c r="B32" s="19" t="str">
        <x:v>Y2</x:v>
      </x:c>
      <x:c r="C32" s="28" t="n">
        <x:v>0.1</x:v>
      </x:c>
      <x:c r="D32" s="24" t="n">
        <x:v>6</x:v>
      </x:c>
      <x:c r="E32" s="24" t="n">
        <x:v>6</x:v>
      </x:c>
      <x:c r="F32" s="24" t="n">
        <x:v>0</x:v>
      </x:c>
      <x:c r="G32" s="24" t="n">
        <x:v>0</x:v>
      </x:c>
    </x:row>
    <x:row r="33" ht="15" hidden="0" customHeight="1">
      <x:c r="A33" s="19" t="str">
        <x:v>SW18</x:v>
      </x:c>
      <x:c r="B33" s="19" t="str">
        <x:v>Y2</x:v>
      </x:c>
      <x:c r="C33" s="28" t="n">
        <x:v>0.4</x:v>
      </x:c>
      <x:c r="D33" s="24" t="n">
        <x:v>6</x:v>
      </x:c>
      <x:c r="E33" s="24" t="n">
        <x:v>6</x:v>
      </x:c>
      <x:c r="F33" s="24" t="n">
        <x:v>6</x:v>
      </x:c>
      <x:c r="G33" s="24" t="n">
        <x:v>2</x:v>
      </x:c>
    </x:row>
    <x:row r="34" ht="15" hidden="0" customHeight="1">
      <x:c r="A34" s="19" t="str">
        <x:v>SW18</x:v>
      </x:c>
      <x:c r="B34" s="19" t="str">
        <x:v>Y2</x:v>
      </x:c>
      <x:c r="C34" s="28" t="n">
        <x:v>0.5</x:v>
      </x:c>
      <x:c r="D34" s="24" t="n">
        <x:v>6</x:v>
      </x:c>
      <x:c r="E34" s="24" t="n">
        <x:v>6</x:v>
      </x:c>
      <x:c r="F34" s="24" t="n">
        <x:v>6</x:v>
      </x:c>
      <x:c r="G34" s="24" t="n">
        <x:v>3</x:v>
      </x:c>
    </x:row>
    <x:row r="35" ht="15" hidden="0" customHeight="1">
      <x:c r="A35" s="19" t="str">
        <x:v>SW18</x:v>
      </x:c>
      <x:c r="B35" s="19" t="str">
        <x:v>Y2</x:v>
      </x:c>
      <x:c r="C35" s="28" t="n">
        <x:v>0.6</x:v>
      </x:c>
      <x:c r="D35" s="24" t="n">
        <x:v>6</x:v>
      </x:c>
      <x:c r="E35" s="24" t="n">
        <x:v>6</x:v>
      </x:c>
      <x:c r="F35" s="24" t="n">
        <x:v>6</x:v>
      </x:c>
      <x:c r="G35" s="24" t="n">
        <x:v>1</x:v>
      </x:c>
    </x:row>
    <x:row r="36" ht="15" hidden="0" customHeight="1">
      <x:c r="A36" s="19" t="str">
        <x:v>SW18</x:v>
      </x:c>
      <x:c r="B36" s="19" t="str">
        <x:v>Y2</x:v>
      </x:c>
      <x:c r="C36" s="28" t="n">
        <x:v>0.7</x:v>
      </x:c>
      <x:c r="D36" s="24" t="n">
        <x:v>3</x:v>
      </x:c>
      <x:c r="E36" s="24" t="n">
        <x:v>3</x:v>
      </x:c>
      <x:c r="F36" s="24" t="n">
        <x:v>3</x:v>
      </x:c>
      <x:c r="G36" s="24" t="n">
        <x:v>0</x:v>
      </x:c>
    </x:row>
    <x:row r="37" ht="15" hidden="0" customHeight="1">
      <x:c r="A37" s="19" t="str">
        <x:v>SW18</x:v>
      </x:c>
      <x:c r="B37" s="19" t="str">
        <x:v>Y2</x:v>
      </x:c>
      <x:c r="C37" s="28" t="n">
        <x:v>0.8</x:v>
      </x:c>
      <x:c r="D37" s="24" t="n">
        <x:v>3</x:v>
      </x:c>
      <x:c r="E37" s="24" t="n">
        <x:v>3</x:v>
      </x:c>
      <x:c r="F37" s="24" t="n">
        <x:v>3</x:v>
      </x:c>
      <x:c r="G37" s="24" t="n">
        <x:v>0</x:v>
      </x:c>
    </x:row>
    <x:row r="38" ht="15" hidden="0" customHeight="1">
      <x:c r="A38" s="19" t="str">
        <x:v>SW18</x:v>
      </x:c>
      <x:c r="B38" s="19" t="str">
        <x:v>Y2</x:v>
      </x:c>
      <x:c r="C38" s="28" t="n">
        <x:v>0.9</x:v>
      </x:c>
      <x:c r="D38" s="24" t="n">
        <x:v>1</x:v>
      </x:c>
      <x:c r="E38" s="24" t="n">
        <x:v>1</x:v>
      </x:c>
      <x:c r="F38" s="24" t="n">
        <x:v>1</x:v>
      </x:c>
      <x:c r="G38" s="24" t="n">
        <x:v>0</x:v>
      </x:c>
    </x:row>
    <x:row r="39" ht="15" hidden="0" customHeight="1">
      <x:c r="A39" s="19" t="str">
        <x:v>SW18</x:v>
      </x:c>
      <x:c r="B39" s="19" t="str">
        <x:v>S1</x:v>
      </x:c>
      <x:c r="C39" s="28" t="n">
        <x:v>0.1</x:v>
      </x:c>
      <x:c r="D39" s="24" t="n">
        <x:v>8</x:v>
      </x:c>
      <x:c r="E39" s="24" t="n">
        <x:v>8</x:v>
      </x:c>
      <x:c r="F39" s="24" t="n">
        <x:v>0</x:v>
      </x:c>
      <x:c r="G39" s="24" t="n">
        <x:v>0</x:v>
      </x:c>
    </x:row>
    <x:row r="40" ht="15" hidden="0" customHeight="1">
      <x:c r="A40" s="19" t="str">
        <x:v>SW18</x:v>
      </x:c>
      <x:c r="B40" s="19" t="str">
        <x:v>S1</x:v>
      </x:c>
      <x:c r="C40" s="28" t="n">
        <x:v>0.4</x:v>
      </x:c>
      <x:c r="D40" s="24" t="n">
        <x:v>8</x:v>
      </x:c>
      <x:c r="E40" s="24" t="n">
        <x:v>8</x:v>
      </x:c>
      <x:c r="F40" s="24" t="n">
        <x:v>8</x:v>
      </x:c>
      <x:c r="G40" s="24" t="n">
        <x:v>2</x:v>
      </x:c>
    </x:row>
    <x:row r="41" ht="15" hidden="0" customHeight="1">
      <x:c r="A41" s="19" t="str">
        <x:v>SW18</x:v>
      </x:c>
      <x:c r="B41" s="19" t="str">
        <x:v>S1</x:v>
      </x:c>
      <x:c r="C41" s="28" t="n">
        <x:v>0.5</x:v>
      </x:c>
      <x:c r="D41" s="24" t="n">
        <x:v>8</x:v>
      </x:c>
      <x:c r="E41" s="24" t="n">
        <x:v>8</x:v>
      </x:c>
      <x:c r="F41" s="24" t="n">
        <x:v>8</x:v>
      </x:c>
      <x:c r="G41" s="24" t="n">
        <x:v>1</x:v>
      </x:c>
    </x:row>
    <x:row r="42" ht="15" hidden="0" customHeight="1">
      <x:c r="A42" s="19" t="str">
        <x:v>SW18</x:v>
      </x:c>
      <x:c r="B42" s="19" t="str">
        <x:v>S1</x:v>
      </x:c>
      <x:c r="C42" s="28" t="n">
        <x:v>0.6</x:v>
      </x:c>
      <x:c r="D42" s="24" t="n">
        <x:v>8</x:v>
      </x:c>
      <x:c r="E42" s="24" t="n">
        <x:v>8</x:v>
      </x:c>
      <x:c r="F42" s="24" t="n">
        <x:v>8</x:v>
      </x:c>
      <x:c r="G42" s="24" t="n">
        <x:v>3</x:v>
      </x:c>
    </x:row>
    <x:row r="43" ht="15" hidden="0" customHeight="1">
      <x:c r="A43" s="19" t="str">
        <x:v>SW18</x:v>
      </x:c>
      <x:c r="B43" s="19" t="str">
        <x:v>S1</x:v>
      </x:c>
      <x:c r="C43" s="28" t="n">
        <x:v>0.7</x:v>
      </x:c>
      <x:c r="D43" s="24" t="n">
        <x:v>5</x:v>
      </x:c>
      <x:c r="E43" s="24" t="n">
        <x:v>5</x:v>
      </x:c>
      <x:c r="F43" s="24" t="n">
        <x:v>5</x:v>
      </x:c>
      <x:c r="G43" s="24" t="n">
        <x:v>1</x:v>
      </x:c>
    </x:row>
    <x:row r="44" ht="15" hidden="0" customHeight="1">
      <x:c r="A44" s="19" t="str">
        <x:v>SW18</x:v>
      </x:c>
      <x:c r="B44" s="19" t="str">
        <x:v>S1</x:v>
      </x:c>
      <x:c r="C44" s="28" t="n">
        <x:v>0.8</x:v>
      </x:c>
      <x:c r="D44" s="24" t="n">
        <x:v>4</x:v>
      </x:c>
      <x:c r="E44" s="24" t="n">
        <x:v>4</x:v>
      </x:c>
      <x:c r="F44" s="24" t="n">
        <x:v>4</x:v>
      </x:c>
      <x:c r="G44" s="24" t="n">
        <x:v>1</x:v>
      </x:c>
    </x:row>
    <x:row r="45" ht="15" hidden="0" customHeight="1">
      <x:c r="A45" s="19" t="str">
        <x:v>SW18</x:v>
      </x:c>
      <x:c r="B45" s="19" t="str">
        <x:v>S1</x:v>
      </x:c>
      <x:c r="C45" s="28" t="n">
        <x:v>0.9</x:v>
      </x:c>
      <x:c r="D45" s="24" t="n">
        <x:v>4</x:v>
      </x:c>
      <x:c r="E45" s="24" t="n">
        <x:v>4</x:v>
      </x:c>
      <x:c r="F45" s="24" t="n">
        <x:v>4</x:v>
      </x:c>
      <x:c r="G45" s="24" t="n">
        <x:v>0</x:v>
      </x:c>
    </x:row>
    <x:row r="46" ht="15" hidden="0" customHeight="1">
      <x:c r="A46" s="19" t="str">
        <x:v>SW18</x:v>
      </x:c>
      <x:c r="B46" s="19" t="str">
        <x:v>S1</x:v>
      </x:c>
      <x:c r="C46" s="28" t="n">
        <x:v>1</x:v>
      </x:c>
      <x:c r="D46" s="24" t="n">
        <x:v>1</x:v>
      </x:c>
      <x:c r="E46" s="24" t="n">
        <x:v>1</x:v>
      </x:c>
      <x:c r="F46" s="24" t="n">
        <x:v>1</x:v>
      </x:c>
      <x:c r="G46" s="2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2a3d7210084f5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45" hidden="0" customWidth="1"/>
  </x:cols>
  <x:sheetData>
    <x:row r="1" ht="15" hidden="0" customHeight="1">
      <x:c r="A1" s="18" t="str">
        <x:v>fish_code</x:v>
      </x:c>
      <x:c r="B1" s="18" t="str">
        <x:v>trial_id</x:v>
      </x:c>
      <x:c r="C1" s="18" t="str">
        <x:v>experimental_condition</x:v>
      </x:c>
      <x:c r="D1" s="18" t="str">
        <x:v>silvering_stage</x:v>
      </x:c>
      <x:c r="E1" s="18" t="str">
        <x:v>n_lowflow_rows</x:v>
      </x:c>
      <x:c r="F1" s="18" t="str">
        <x:v>n_active_rows</x:v>
      </x:c>
      <x:c r="G1" s="18" t="str">
        <x:v>n_total_speed_rows</x:v>
      </x:c>
      <x:c r="H1" s="18" t="str">
        <x:v>table_s2_n_active_speed_steps</x:v>
      </x:c>
      <x:c r="I1" s="18" t="str">
        <x:v>lowflow_status</x:v>
      </x:c>
      <x:c r="J1" s="18" t="str">
        <x:v>active_metrics_status</x:v>
      </x:c>
      <x:c r="K1" s="18" t="str">
        <x:v>coverage_status</x:v>
      </x:c>
      <x:c r="L1" s="18" t="str">
        <x:v>notes</x:v>
      </x:c>
    </x:row>
    <x:row r="2" ht="15" hidden="0" customHeight="1">
      <x:c r="A2" s="19" t="str">
        <x:v>Eel 1</x:v>
      </x:c>
      <x:c r="B2" s="19" t="str">
        <x:v>E01FW25</x:v>
      </x:c>
      <x:c r="C2" s="19" t="str">
        <x:v>FW25</x:v>
      </x:c>
      <x:c r="D2" s="19" t="str">
        <x:v>Y1</x:v>
      </x:c>
      <x:c r="E2" s="24" t="n">
        <x:v>1</x:v>
      </x:c>
      <x:c r="F2" s="24" t="n">
        <x:v>2</x:v>
      </x:c>
      <x:c r="G2" s="24" t="n">
        <x:v>3</x:v>
      </x:c>
      <x:c r="H2" s="24" t="n">
        <x:v>2</x:v>
      </x:c>
      <x:c r="I2" s="19" t="str">
        <x:v>valid</x:v>
      </x:c>
      <x:c r="J2" s="19" t="str">
        <x:v>boundary_estimate</x:v>
      </x:c>
      <x:c r="K2" s="19" t="str">
        <x:v>ok</x:v>
      </x:c>
      <x:c r="L2" s="19" t="str"/>
    </x:row>
    <x:row r="3" ht="15" hidden="0" customHeight="1">
      <x:c r="A3" s="19" t="str">
        <x:v>Eel 2</x:v>
      </x:c>
      <x:c r="B3" s="19" t="str">
        <x:v>E02FW25</x:v>
      </x:c>
      <x:c r="C3" s="19" t="str">
        <x:v>FW25</x:v>
      </x:c>
      <x:c r="D3" s="19" t="str">
        <x:v>Y1</x:v>
      </x:c>
      <x:c r="E3" s="24" t="n">
        <x:v>1</x:v>
      </x:c>
      <x:c r="F3" s="24" t="n">
        <x:v>2</x:v>
      </x:c>
      <x:c r="G3" s="24" t="n">
        <x:v>3</x:v>
      </x:c>
      <x:c r="H3" s="24" t="n">
        <x:v>2</x:v>
      </x:c>
      <x:c r="I3" s="19" t="str">
        <x:v>valid</x:v>
      </x:c>
      <x:c r="J3" s="19" t="str">
        <x:v>boundary_estimate</x:v>
      </x:c>
      <x:c r="K3" s="19" t="str">
        <x:v>ok</x:v>
      </x:c>
      <x:c r="L3" s="19" t="str"/>
    </x:row>
    <x:row r="4" ht="15" hidden="0" customHeight="1">
      <x:c r="A4" s="19" t="str">
        <x:v>Eel 3</x:v>
      </x:c>
      <x:c r="B4" s="19" t="str">
        <x:v>E03FW25</x:v>
      </x:c>
      <x:c r="C4" s="19" t="str">
        <x:v>FW25</x:v>
      </x:c>
      <x:c r="D4" s="19" t="str">
        <x:v>Y1</x:v>
      </x:c>
      <x:c r="E4" s="24" t="n">
        <x:v>1</x:v>
      </x:c>
      <x:c r="F4" s="24" t="n">
        <x:v>2</x:v>
      </x:c>
      <x:c r="G4" s="24" t="n">
        <x:v>3</x:v>
      </x:c>
      <x:c r="H4" s="24" t="n">
        <x:v>2</x:v>
      </x:c>
      <x:c r="I4" s="19" t="str">
        <x:v>valid</x:v>
      </x:c>
      <x:c r="J4" s="19" t="str">
        <x:v>boundary_estimate</x:v>
      </x:c>
      <x:c r="K4" s="19" t="str">
        <x:v>ok</x:v>
      </x:c>
      <x:c r="L4" s="19" t="str"/>
    </x:row>
    <x:row r="5" ht="15" hidden="0" customHeight="1">
      <x:c r="A5" s="19" t="str">
        <x:v>Eel 4</x:v>
      </x:c>
      <x:c r="B5" s="19" t="str">
        <x:v>E04FW25</x:v>
      </x:c>
      <x:c r="C5" s="19" t="str">
        <x:v>FW25</x:v>
      </x:c>
      <x:c r="D5" s="19" t="str">
        <x:v>Y1</x:v>
      </x:c>
      <x:c r="E5" s="24" t="n">
        <x:v>1</x:v>
      </x:c>
      <x:c r="F5" s="24" t="n">
        <x:v>1</x:v>
      </x:c>
      <x:c r="G5" s="24" t="n">
        <x:v>2</x:v>
      </x:c>
      <x:c r="H5" s="24" t="n">
        <x:v>1</x:v>
      </x:c>
      <x:c r="I5" s="19" t="str">
        <x:v>valid</x:v>
      </x:c>
      <x:c r="J5" s="19" t="str">
        <x:v>single_active_point</x:v>
      </x:c>
      <x:c r="K5" s="19" t="str">
        <x:v>ok</x:v>
      </x:c>
      <x:c r="L5" s="19" t="str"/>
    </x:row>
    <x:row r="6" ht="15" hidden="0" customHeight="1">
      <x:c r="A6" s="19" t="str">
        <x:v>Eel 5</x:v>
      </x:c>
      <x:c r="B6" s="19" t="str">
        <x:v>E05FW25</x:v>
      </x:c>
      <x:c r="C6" s="19" t="str">
        <x:v>FW25</x:v>
      </x:c>
      <x:c r="D6" s="19" t="str">
        <x:v>Y1</x:v>
      </x:c>
      <x:c r="E6" s="24" t="n">
        <x:v>1</x:v>
      </x:c>
      <x:c r="F6" s="24" t="n">
        <x:v>3</x:v>
      </x:c>
      <x:c r="G6" s="24" t="n">
        <x:v>4</x:v>
      </x:c>
      <x:c r="H6" s="24" t="n">
        <x:v>3</x:v>
      </x:c>
      <x:c r="I6" s="19" t="str">
        <x:v>valid</x:v>
      </x:c>
      <x:c r="J6" s="19" t="str">
        <x:v>boundary_estimate</x:v>
      </x:c>
      <x:c r="K6" s="19" t="str">
        <x:v>ok</x:v>
      </x:c>
      <x:c r="L6" s="19" t="str"/>
    </x:row>
    <x:row r="7" ht="15" hidden="0" customHeight="1">
      <x:c r="A7" s="19" t="str">
        <x:v>Eel 6</x:v>
      </x:c>
      <x:c r="B7" s="19" t="str">
        <x:v>E06FW25</x:v>
      </x:c>
      <x:c r="C7" s="19" t="str">
        <x:v>FW25</x:v>
      </x:c>
      <x:c r="D7" s="19" t="str">
        <x:v>Y2</x:v>
      </x:c>
      <x:c r="E7" s="24" t="n">
        <x:v>1</x:v>
      </x:c>
      <x:c r="F7" s="24" t="n">
        <x:v>2</x:v>
      </x:c>
      <x:c r="G7" s="24" t="n">
        <x:v>3</x:v>
      </x:c>
      <x:c r="H7" s="24" t="n">
        <x:v>2</x:v>
      </x:c>
      <x:c r="I7" s="19" t="str">
        <x:v>valid</x:v>
      </x:c>
      <x:c r="J7" s="19" t="str">
        <x:v>boundary_estimate</x:v>
      </x:c>
      <x:c r="K7" s="19" t="str">
        <x:v>ok</x:v>
      </x:c>
      <x:c r="L7" s="19" t="str"/>
    </x:row>
    <x:row r="8" ht="15" hidden="0" customHeight="1">
      <x:c r="A8" s="19" t="str">
        <x:v>Eel 7</x:v>
      </x:c>
      <x:c r="B8" s="19" t="str">
        <x:v>E07FW25</x:v>
      </x:c>
      <x:c r="C8" s="19" t="str">
        <x:v>FW25</x:v>
      </x:c>
      <x:c r="D8" s="19" t="str">
        <x:v>Y2</x:v>
      </x:c>
      <x:c r="E8" s="24" t="n">
        <x:v>1</x:v>
      </x:c>
      <x:c r="F8" s="24" t="n">
        <x:v>10</x:v>
      </x:c>
      <x:c r="G8" s="24" t="n">
        <x:v>11</x:v>
      </x:c>
      <x:c r="H8" s="24" t="n">
        <x:v>10</x:v>
      </x:c>
      <x:c r="I8" s="19" t="str">
        <x:v>valid</x:v>
      </x:c>
      <x:c r="J8" s="19" t="str">
        <x:v>valid</x:v>
      </x:c>
      <x:c r="K8" s="19" t="str">
        <x:v>ok</x:v>
      </x:c>
      <x:c r="L8" s="19" t="str"/>
    </x:row>
    <x:row r="9" ht="15" hidden="0" customHeight="1">
      <x:c r="A9" s="19" t="str">
        <x:v>Eel 8</x:v>
      </x:c>
      <x:c r="B9" s="19" t="str">
        <x:v>E08FW25</x:v>
      </x:c>
      <x:c r="C9" s="19" t="str">
        <x:v>FW25</x:v>
      </x:c>
      <x:c r="D9" s="19" t="str">
        <x:v>Y2</x:v>
      </x:c>
      <x:c r="E9" s="24" t="n">
        <x:v>1</x:v>
      </x:c>
      <x:c r="F9" s="24" t="n">
        <x:v>3</x:v>
      </x:c>
      <x:c r="G9" s="24" t="n">
        <x:v>4</x:v>
      </x:c>
      <x:c r="H9" s="24" t="n">
        <x:v>3</x:v>
      </x:c>
      <x:c r="I9" s="19" t="str">
        <x:v>valid</x:v>
      </x:c>
      <x:c r="J9" s="19" t="str">
        <x:v>boundary_estimate</x:v>
      </x:c>
      <x:c r="K9" s="19" t="str">
        <x:v>ok</x:v>
      </x:c>
      <x:c r="L9" s="19" t="str"/>
    </x:row>
    <x:row r="10" ht="15" hidden="0" customHeight="1">
      <x:c r="A10" s="19" t="str">
        <x:v>Eel 9</x:v>
      </x:c>
      <x:c r="B10" s="19" t="str">
        <x:v>E09FW25</x:v>
      </x:c>
      <x:c r="C10" s="19" t="str">
        <x:v>FW25</x:v>
      </x:c>
      <x:c r="D10" s="19" t="str">
        <x:v>Y2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19" t="str">
        <x:v>not_estimable</x:v>
      </x:c>
      <x:c r="J10" s="19" t="str">
        <x:v>not_estimable</x:v>
      </x:c>
      <x:c r="K10" s="19" t="str">
        <x:v>no_speed_step_data</x:v>
      </x:c>
      <x:c r="L10" s="19" t="str">
        <x:v>No non-missing MO2/COT values were available in the raw MO2/COT sheets.</x:v>
      </x:c>
    </x:row>
    <x:row r="11" ht="15" hidden="0" customHeight="1">
      <x:c r="A11" s="19" t="str">
        <x:v>Eel 10</x:v>
      </x:c>
      <x:c r="B11" s="19" t="str">
        <x:v>E10FW25</x:v>
      </x:c>
      <x:c r="C11" s="19" t="str">
        <x:v>FW25</x:v>
      </x:c>
      <x:c r="D11" s="19" t="str">
        <x:v>Y2</x:v>
      </x:c>
      <x:c r="E11" s="24" t="n">
        <x:v>1</x:v>
      </x:c>
      <x:c r="F11" s="24" t="n">
        <x:v>7</x:v>
      </x:c>
      <x:c r="G11" s="24" t="n">
        <x:v>8</x:v>
      </x:c>
      <x:c r="H11" s="24" t="n">
        <x:v>7</x:v>
      </x:c>
      <x:c r="I11" s="19" t="str">
        <x:v>valid</x:v>
      </x:c>
      <x:c r="J11" s="19" t="str">
        <x:v>valid</x:v>
      </x:c>
      <x:c r="K11" s="19" t="str">
        <x:v>ok</x:v>
      </x:c>
      <x:c r="L11" s="19" t="str"/>
    </x:row>
    <x:row r="12" ht="15" hidden="0" customHeight="1">
      <x:c r="A12" s="19" t="str">
        <x:v>Eel 1</x:v>
      </x:c>
      <x:c r="B12" s="19" t="str">
        <x:v>E01FW18</x:v>
      </x:c>
      <x:c r="C12" s="19" t="str">
        <x:v>FW18</x:v>
      </x:c>
      <x:c r="D12" s="19" t="str">
        <x:v>Y1</x:v>
      </x:c>
      <x:c r="E12" s="24" t="n">
        <x:v>1</x:v>
      </x:c>
      <x:c r="F12" s="24" t="n">
        <x:v>0</x:v>
      </x:c>
      <x:c r="G12" s="24" t="n">
        <x:v>1</x:v>
      </x:c>
      <x:c r="H12" s="24" t="n">
        <x:v>0</x:v>
      </x:c>
      <x:c r="I12" s="19" t="str">
        <x:v>valid</x:v>
      </x:c>
      <x:c r="J12" s="19" t="str">
        <x:v>not_estimable</x:v>
      </x:c>
      <x:c r="K12" s="19" t="str">
        <x:v>ok</x:v>
      </x:c>
      <x:c r="L12" s="19" t="str"/>
    </x:row>
    <x:row r="13" ht="15" hidden="0" customHeight="1">
      <x:c r="A13" s="19" t="str">
        <x:v>Eel 2</x:v>
      </x:c>
      <x:c r="B13" s="19" t="str">
        <x:v>E02FW18</x:v>
      </x:c>
      <x:c r="C13" s="19" t="str">
        <x:v>FW18</x:v>
      </x:c>
      <x:c r="D13" s="19" t="str">
        <x:v>Y1</x:v>
      </x:c>
      <x:c r="E13" s="24" t="n">
        <x:v>1</x:v>
      </x:c>
      <x:c r="F13" s="24" t="n">
        <x:v>4</x:v>
      </x:c>
      <x:c r="G13" s="24" t="n">
        <x:v>5</x:v>
      </x:c>
      <x:c r="H13" s="24" t="n">
        <x:v>4</x:v>
      </x:c>
      <x:c r="I13" s="19" t="str">
        <x:v>valid</x:v>
      </x:c>
      <x:c r="J13" s="19" t="str">
        <x:v>valid</x:v>
      </x:c>
      <x:c r="K13" s="19" t="str">
        <x:v>ok</x:v>
      </x:c>
      <x:c r="L13" s="19" t="str"/>
    </x:row>
    <x:row r="14" ht="15" hidden="0" customHeight="1">
      <x:c r="A14" s="19" t="str">
        <x:v>Eel 3</x:v>
      </x:c>
      <x:c r="B14" s="19" t="str">
        <x:v>E03FW18</x:v>
      </x:c>
      <x:c r="C14" s="19" t="str">
        <x:v>FW18</x:v>
      </x:c>
      <x:c r="D14" s="19" t="str">
        <x:v>Y1</x:v>
      </x:c>
      <x:c r="E14" s="24" t="n">
        <x:v>1</x:v>
      </x:c>
      <x:c r="F14" s="24" t="n">
        <x:v>0</x:v>
      </x:c>
      <x:c r="G14" s="24" t="n">
        <x:v>1</x:v>
      </x:c>
      <x:c r="H14" s="24" t="n">
        <x:v>0</x:v>
      </x:c>
      <x:c r="I14" s="19" t="str">
        <x:v>valid</x:v>
      </x:c>
      <x:c r="J14" s="19" t="str">
        <x:v>not_estimable</x:v>
      </x:c>
      <x:c r="K14" s="19" t="str">
        <x:v>ok</x:v>
      </x:c>
      <x:c r="L14" s="19" t="str"/>
    </x:row>
    <x:row r="15" ht="15" hidden="0" customHeight="1">
      <x:c r="A15" s="19" t="str">
        <x:v>Eel 4</x:v>
      </x:c>
      <x:c r="B15" s="19" t="str">
        <x:v>E04FW18</x:v>
      </x:c>
      <x:c r="C15" s="19" t="str">
        <x:v>FW18</x:v>
      </x:c>
      <x:c r="D15" s="19" t="str">
        <x:v>Y1</x:v>
      </x:c>
      <x:c r="E15" s="24" t="n">
        <x:v>1</x:v>
      </x:c>
      <x:c r="F15" s="24" t="n">
        <x:v>0</x:v>
      </x:c>
      <x:c r="G15" s="24" t="n">
        <x:v>1</x:v>
      </x:c>
      <x:c r="H15" s="24" t="n">
        <x:v>0</x:v>
      </x:c>
      <x:c r="I15" s="19" t="str">
        <x:v>valid</x:v>
      </x:c>
      <x:c r="J15" s="19" t="str">
        <x:v>not_estimable</x:v>
      </x:c>
      <x:c r="K15" s="19" t="str">
        <x:v>ok</x:v>
      </x:c>
      <x:c r="L15" s="19" t="str"/>
    </x:row>
    <x:row r="16" ht="15" hidden="0" customHeight="1">
      <x:c r="A16" s="19" t="str">
        <x:v>Eel 5</x:v>
      </x:c>
      <x:c r="B16" s="19" t="str">
        <x:v>E05FW18</x:v>
      </x:c>
      <x:c r="C16" s="19" t="str">
        <x:v>FW18</x:v>
      </x:c>
      <x:c r="D16" s="19" t="str">
        <x:v>Y1</x:v>
      </x:c>
      <x:c r="E16" s="24" t="n">
        <x:v>1</x:v>
      </x:c>
      <x:c r="F16" s="24" t="n">
        <x:v>7</x:v>
      </x:c>
      <x:c r="G16" s="24" t="n">
        <x:v>8</x:v>
      </x:c>
      <x:c r="H16" s="24" t="n">
        <x:v>7</x:v>
      </x:c>
      <x:c r="I16" s="19" t="str">
        <x:v>valid</x:v>
      </x:c>
      <x:c r="J16" s="19" t="str">
        <x:v>valid</x:v>
      </x:c>
      <x:c r="K16" s="19" t="str">
        <x:v>ok</x:v>
      </x:c>
      <x:c r="L16" s="19" t="str"/>
    </x:row>
    <x:row r="17" ht="15" hidden="0" customHeight="1">
      <x:c r="A17" s="19" t="str">
        <x:v>Eel 6</x:v>
      </x:c>
      <x:c r="B17" s="19" t="str">
        <x:v>E06FW18</x:v>
      </x:c>
      <x:c r="C17" s="19" t="str">
        <x:v>FW18</x:v>
      </x:c>
      <x:c r="D17" s="19" t="str">
        <x:v>Y2</x:v>
      </x:c>
      <x:c r="E17" s="24" t="n">
        <x:v>1</x:v>
      </x:c>
      <x:c r="F17" s="24" t="n">
        <x:v>0</x:v>
      </x:c>
      <x:c r="G17" s="24" t="n">
        <x:v>1</x:v>
      </x:c>
      <x:c r="H17" s="24" t="n">
        <x:v>0</x:v>
      </x:c>
      <x:c r="I17" s="19" t="str">
        <x:v>valid</x:v>
      </x:c>
      <x:c r="J17" s="19" t="str">
        <x:v>not_estimable</x:v>
      </x:c>
      <x:c r="K17" s="19" t="str">
        <x:v>ok</x:v>
      </x:c>
      <x:c r="L17" s="19" t="str"/>
    </x:row>
    <x:row r="18" ht="15" hidden="0" customHeight="1">
      <x:c r="A18" s="19" t="str">
        <x:v>Eel 7</x:v>
      </x:c>
      <x:c r="B18" s="19" t="str">
        <x:v>E07FW18</x:v>
      </x:c>
      <x:c r="C18" s="19" t="str">
        <x:v>FW18</x:v>
      </x:c>
      <x:c r="D18" s="19" t="str">
        <x:v>Y2</x:v>
      </x:c>
      <x:c r="E18" s="24" t="n">
        <x:v>1</x:v>
      </x:c>
      <x:c r="F18" s="24" t="n">
        <x:v>0</x:v>
      </x:c>
      <x:c r="G18" s="24" t="n">
        <x:v>1</x:v>
      </x:c>
      <x:c r="H18" s="24" t="n">
        <x:v>0</x:v>
      </x:c>
      <x:c r="I18" s="19" t="str">
        <x:v>valid</x:v>
      </x:c>
      <x:c r="J18" s="19" t="str">
        <x:v>not_estimable</x:v>
      </x:c>
      <x:c r="K18" s="19" t="str">
        <x:v>ok</x:v>
      </x:c>
      <x:c r="L18" s="19" t="str"/>
    </x:row>
    <x:row r="19" ht="15" hidden="0" customHeight="1">
      <x:c r="A19" s="19" t="str">
        <x:v>Eel 8</x:v>
      </x:c>
      <x:c r="B19" s="19" t="str">
        <x:v>E08FW18</x:v>
      </x:c>
      <x:c r="C19" s="19" t="str">
        <x:v>FW18</x:v>
      </x:c>
      <x:c r="D19" s="19" t="str">
        <x:v>Y2</x:v>
      </x:c>
      <x:c r="E19" s="24" t="n">
        <x:v>1</x:v>
      </x:c>
      <x:c r="F19" s="24" t="n">
        <x:v>1</x:v>
      </x:c>
      <x:c r="G19" s="24" t="n">
        <x:v>2</x:v>
      </x:c>
      <x:c r="H19" s="24" t="n">
        <x:v>1</x:v>
      </x:c>
      <x:c r="I19" s="19" t="str">
        <x:v>valid</x:v>
      </x:c>
      <x:c r="J19" s="19" t="str">
        <x:v>single_active_point</x:v>
      </x:c>
      <x:c r="K19" s="19" t="str">
        <x:v>ok</x:v>
      </x:c>
      <x:c r="L19" s="19" t="str"/>
    </x:row>
    <x:row r="20" ht="15" hidden="0" customHeight="1">
      <x:c r="A20" s="19" t="str">
        <x:v>Eel 9</x:v>
      </x:c>
      <x:c r="B20" s="19" t="str">
        <x:v>E09FW18</x:v>
      </x:c>
      <x:c r="C20" s="19" t="str">
        <x:v>FW18</x:v>
      </x:c>
      <x:c r="D20" s="19" t="str">
        <x:v>Y2</x:v>
      </x:c>
      <x:c r="E20" s="24" t="n">
        <x:v>1</x:v>
      </x:c>
      <x:c r="F20" s="24" t="n">
        <x:v>0</x:v>
      </x:c>
      <x:c r="G20" s="24" t="n">
        <x:v>1</x:v>
      </x:c>
      <x:c r="H20" s="24" t="n">
        <x:v>0</x:v>
      </x:c>
      <x:c r="I20" s="19" t="str">
        <x:v>valid</x:v>
      </x:c>
      <x:c r="J20" s="19" t="str">
        <x:v>not_estimable</x:v>
      </x:c>
      <x:c r="K20" s="19" t="str">
        <x:v>ok</x:v>
      </x:c>
      <x:c r="L20" s="19" t="str"/>
    </x:row>
    <x:row r="21" ht="15" hidden="0" customHeight="1">
      <x:c r="A21" s="19" t="str">
        <x:v>Eel 10</x:v>
      </x:c>
      <x:c r="B21" s="19" t="str">
        <x:v>E10FW18</x:v>
      </x:c>
      <x:c r="C21" s="19" t="str">
        <x:v>FW18</x:v>
      </x:c>
      <x:c r="D21" s="19" t="str">
        <x:v>Y2</x:v>
      </x:c>
      <x:c r="E21" s="24" t="n">
        <x:v>1</x:v>
      </x:c>
      <x:c r="F21" s="24" t="n">
        <x:v>6</x:v>
      </x:c>
      <x:c r="G21" s="24" t="n">
        <x:v>7</x:v>
      </x:c>
      <x:c r="H21" s="24" t="n">
        <x:v>6</x:v>
      </x:c>
      <x:c r="I21" s="19" t="str">
        <x:v>valid</x:v>
      </x:c>
      <x:c r="J21" s="19" t="str">
        <x:v>valid</x:v>
      </x:c>
      <x:c r="K21" s="19" t="str">
        <x:v>ok</x:v>
      </x:c>
      <x:c r="L21" s="19" t="str"/>
    </x:row>
    <x:row r="22" ht="15" hidden="0" customHeight="1">
      <x:c r="A22" s="19" t="str">
        <x:v>Eel 11</x:v>
      </x:c>
      <x:c r="B22" s="19" t="str">
        <x:v>E11SW18</x:v>
      </x:c>
      <x:c r="C22" s="19" t="str">
        <x:v>SW18</x:v>
      </x:c>
      <x:c r="D22" s="19" t="str">
        <x:v>Y2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19" t="str">
        <x:v>not_estimable</x:v>
      </x:c>
      <x:c r="J22" s="19" t="str">
        <x:v>not_estimable</x:v>
      </x:c>
      <x:c r="K22" s="19" t="str">
        <x:v>no_speed_step_data</x:v>
      </x:c>
      <x:c r="L22" s="19" t="str">
        <x:v>No non-missing MO2/COT values were available in the raw MO2/COT sheets.</x:v>
      </x:c>
    </x:row>
    <x:row r="23" ht="15" hidden="0" customHeight="1">
      <x:c r="A23" s="19" t="str">
        <x:v>Eel 12</x:v>
      </x:c>
      <x:c r="B23" s="19" t="str">
        <x:v>E12SW18</x:v>
      </x:c>
      <x:c r="C23" s="19" t="str">
        <x:v>SW18</x:v>
      </x:c>
      <x:c r="D23" s="19" t="str">
        <x:v>Y2</x:v>
      </x:c>
      <x:c r="E23" s="24" t="n">
        <x:v>1</x:v>
      </x:c>
      <x:c r="F23" s="24" t="n">
        <x:v>5</x:v>
      </x:c>
      <x:c r="G23" s="24" t="n">
        <x:v>6</x:v>
      </x:c>
      <x:c r="H23" s="24" t="n">
        <x:v>5</x:v>
      </x:c>
      <x:c r="I23" s="19" t="str">
        <x:v>valid</x:v>
      </x:c>
      <x:c r="J23" s="19" t="str">
        <x:v>valid</x:v>
      </x:c>
      <x:c r="K23" s="19" t="str">
        <x:v>ok</x:v>
      </x:c>
      <x:c r="L23" s="19" t="str"/>
    </x:row>
    <x:row r="24" ht="15" hidden="0" customHeight="1">
      <x:c r="A24" s="19" t="str">
        <x:v>Eel 13</x:v>
      </x:c>
      <x:c r="B24" s="19" t="str">
        <x:v>E13SW18</x:v>
      </x:c>
      <x:c r="C24" s="19" t="str">
        <x:v>SW18</x:v>
      </x:c>
      <x:c r="D24" s="19" t="str">
        <x:v>Y2</x:v>
      </x:c>
      <x:c r="E24" s="24" t="n">
        <x:v>1</x:v>
      </x:c>
      <x:c r="F24" s="24" t="n">
        <x:v>3</x:v>
      </x:c>
      <x:c r="G24" s="24" t="n">
        <x:v>4</x:v>
      </x:c>
      <x:c r="H24" s="24" t="n">
        <x:v>3</x:v>
      </x:c>
      <x:c r="I24" s="19" t="str">
        <x:v>valid</x:v>
      </x:c>
      <x:c r="J24" s="19" t="str">
        <x:v>boundary_estimate</x:v>
      </x:c>
      <x:c r="K24" s="19" t="str">
        <x:v>ok</x:v>
      </x:c>
      <x:c r="L24" s="19" t="str"/>
    </x:row>
    <x:row r="25" ht="15" hidden="0" customHeight="1">
      <x:c r="A25" s="19" t="str">
        <x:v>Eel 14</x:v>
      </x:c>
      <x:c r="B25" s="19" t="str">
        <x:v>E14SW18</x:v>
      </x:c>
      <x:c r="C25" s="19" t="str">
        <x:v>SW18</x:v>
      </x:c>
      <x:c r="D25" s="19" t="str">
        <x:v>Y2</x:v>
      </x:c>
      <x:c r="E25" s="24" t="n">
        <x:v>1</x:v>
      </x:c>
      <x:c r="F25" s="24" t="n">
        <x:v>3</x:v>
      </x:c>
      <x:c r="G25" s="24" t="n">
        <x:v>4</x:v>
      </x:c>
      <x:c r="H25" s="24" t="n">
        <x:v>3</x:v>
      </x:c>
      <x:c r="I25" s="19" t="str">
        <x:v>valid</x:v>
      </x:c>
      <x:c r="J25" s="19" t="str">
        <x:v>boundary_estimate</x:v>
      </x:c>
      <x:c r="K25" s="19" t="str">
        <x:v>ok</x:v>
      </x:c>
      <x:c r="L25" s="19" t="str"/>
    </x:row>
    <x:row r="26" ht="15" hidden="0" customHeight="1">
      <x:c r="A26" s="19" t="str">
        <x:v>Eel 15</x:v>
      </x:c>
      <x:c r="B26" s="19" t="str">
        <x:v>E15SW18</x:v>
      </x:c>
      <x:c r="C26" s="19" t="str">
        <x:v>SW18</x:v>
      </x:c>
      <x:c r="D26" s="19" t="str">
        <x:v>Y2</x:v>
      </x:c>
      <x:c r="E26" s="24" t="n">
        <x:v>1</x:v>
      </x:c>
      <x:c r="F26" s="24" t="n">
        <x:v>3</x:v>
      </x:c>
      <x:c r="G26" s="24" t="n">
        <x:v>4</x:v>
      </x:c>
      <x:c r="H26" s="24" t="n">
        <x:v>3</x:v>
      </x:c>
      <x:c r="I26" s="19" t="str">
        <x:v>valid</x:v>
      </x:c>
      <x:c r="J26" s="19" t="str">
        <x:v>boundary_estimate</x:v>
      </x:c>
      <x:c r="K26" s="19" t="str">
        <x:v>ok</x:v>
      </x:c>
      <x:c r="L26" s="19" t="str"/>
    </x:row>
    <x:row r="27" ht="15" hidden="0" customHeight="1">
      <x:c r="A27" s="19" t="str">
        <x:v>Eel 16</x:v>
      </x:c>
      <x:c r="B27" s="19" t="str">
        <x:v>E16SW18</x:v>
      </x:c>
      <x:c r="C27" s="19" t="str">
        <x:v>SW18</x:v>
      </x:c>
      <x:c r="D27" s="19" t="str">
        <x:v>Y2</x:v>
      </x:c>
      <x:c r="E27" s="24" t="n">
        <x:v>1</x:v>
      </x:c>
      <x:c r="F27" s="24" t="n">
        <x:v>6</x:v>
      </x:c>
      <x:c r="G27" s="24" t="n">
        <x:v>7</x:v>
      </x:c>
      <x:c r="H27" s="24" t="n">
        <x:v>6</x:v>
      </x:c>
      <x:c r="I27" s="19" t="str">
        <x:v>valid</x:v>
      </x:c>
      <x:c r="J27" s="19" t="str">
        <x:v>valid</x:v>
      </x:c>
      <x:c r="K27" s="19" t="str">
        <x:v>ok</x:v>
      </x:c>
      <x:c r="L27" s="19" t="str"/>
    </x:row>
    <x:row r="28" ht="15" hidden="0" customHeight="1">
      <x:c r="A28" s="19" t="str">
        <x:v>Eel 17</x:v>
      </x:c>
      <x:c r="B28" s="19" t="str">
        <x:v>E17SW18</x:v>
      </x:c>
      <x:c r="C28" s="19" t="str">
        <x:v>SW18</x:v>
      </x:c>
      <x:c r="D28" s="19" t="str">
        <x:v>Y2</x:v>
      </x:c>
      <x:c r="E28" s="24" t="n">
        <x:v>1</x:v>
      </x:c>
      <x:c r="F28" s="24" t="n">
        <x:v>5</x:v>
      </x:c>
      <x:c r="G28" s="24" t="n">
        <x:v>6</x:v>
      </x:c>
      <x:c r="H28" s="24" t="n">
        <x:v>5</x:v>
      </x:c>
      <x:c r="I28" s="19" t="str">
        <x:v>valid</x:v>
      </x:c>
      <x:c r="J28" s="19" t="str">
        <x:v>valid</x:v>
      </x:c>
      <x:c r="K28" s="19" t="str">
        <x:v>ok</x:v>
      </x:c>
      <x:c r="L28" s="19" t="str"/>
    </x:row>
    <x:row r="29" ht="15" hidden="0" customHeight="1">
      <x:c r="A29" s="19" t="str">
        <x:v>Eel 18</x:v>
      </x:c>
      <x:c r="B29" s="19" t="str">
        <x:v>E18SW18</x:v>
      </x:c>
      <x:c r="C29" s="19" t="str">
        <x:v>SW18</x:v>
      </x:c>
      <x:c r="D29" s="19" t="str">
        <x:v>S1</x:v>
      </x:c>
      <x:c r="E29" s="24" t="n">
        <x:v>1</x:v>
      </x:c>
      <x:c r="F29" s="24" t="n">
        <x:v>6</x:v>
      </x:c>
      <x:c r="G29" s="24" t="n">
        <x:v>7</x:v>
      </x:c>
      <x:c r="H29" s="24" t="n">
        <x:v>6</x:v>
      </x:c>
      <x:c r="I29" s="19" t="str">
        <x:v>valid</x:v>
      </x:c>
      <x:c r="J29" s="19" t="str">
        <x:v>boundary_estimate</x:v>
      </x:c>
      <x:c r="K29" s="19" t="str">
        <x:v>ok</x:v>
      </x:c>
      <x:c r="L29" s="19" t="str"/>
    </x:row>
    <x:row r="30" ht="15" hidden="0" customHeight="1">
      <x:c r="A30" s="19" t="str">
        <x:v>Eel 19</x:v>
      </x:c>
      <x:c r="B30" s="19" t="str">
        <x:v>E19SW18</x:v>
      </x:c>
      <x:c r="C30" s="19" t="str">
        <x:v>SW18</x:v>
      </x:c>
      <x:c r="D30" s="19" t="str">
        <x:v>S1</x:v>
      </x:c>
      <x:c r="E30" s="24" t="n">
        <x:v>1</x:v>
      </x:c>
      <x:c r="F30" s="24" t="n">
        <x:v>6</x:v>
      </x:c>
      <x:c r="G30" s="24" t="n">
        <x:v>7</x:v>
      </x:c>
      <x:c r="H30" s="24" t="n">
        <x:v>6</x:v>
      </x:c>
      <x:c r="I30" s="19" t="str">
        <x:v>valid</x:v>
      </x:c>
      <x:c r="J30" s="19" t="str">
        <x:v>valid</x:v>
      </x:c>
      <x:c r="K30" s="19" t="str">
        <x:v>ok</x:v>
      </x:c>
      <x:c r="L30" s="19" t="str"/>
    </x:row>
    <x:row r="31" ht="15" hidden="0" customHeight="1">
      <x:c r="A31" s="19" t="str">
        <x:v>Eel 20</x:v>
      </x:c>
      <x:c r="B31" s="19" t="str">
        <x:v>E20SW18</x:v>
      </x:c>
      <x:c r="C31" s="19" t="str">
        <x:v>SW18</x:v>
      </x:c>
      <x:c r="D31" s="19" t="str">
        <x:v>S1</x:v>
      </x:c>
      <x:c r="E31" s="24" t="n">
        <x:v>1</x:v>
      </x:c>
      <x:c r="F31" s="24" t="n">
        <x:v>4</x:v>
      </x:c>
      <x:c r="G31" s="24" t="n">
        <x:v>5</x:v>
      </x:c>
      <x:c r="H31" s="24" t="n">
        <x:v>4</x:v>
      </x:c>
      <x:c r="I31" s="19" t="str">
        <x:v>valid</x:v>
      </x:c>
      <x:c r="J31" s="19" t="str">
        <x:v>valid</x:v>
      </x:c>
      <x:c r="K31" s="19" t="str">
        <x:v>ok</x:v>
      </x:c>
      <x:c r="L31" s="19" t="str"/>
    </x:row>
    <x:row r="32" ht="15" hidden="0" customHeight="1">
      <x:c r="A32" s="19" t="str">
        <x:v>Eel 21</x:v>
      </x:c>
      <x:c r="B32" s="19" t="str">
        <x:v>E21SW18</x:v>
      </x:c>
      <x:c r="C32" s="19" t="str">
        <x:v>SW18</x:v>
      </x:c>
      <x:c r="D32" s="19" t="str">
        <x:v>S1</x:v>
      </x:c>
      <x:c r="E32" s="24" t="n">
        <x:v>1</x:v>
      </x:c>
      <x:c r="F32" s="24" t="n">
        <x:v>6</x:v>
      </x:c>
      <x:c r="G32" s="24" t="n">
        <x:v>7</x:v>
      </x:c>
      <x:c r="H32" s="24" t="n">
        <x:v>6</x:v>
      </x:c>
      <x:c r="I32" s="19" t="str">
        <x:v>valid</x:v>
      </x:c>
      <x:c r="J32" s="19" t="str">
        <x:v>valid</x:v>
      </x:c>
      <x:c r="K32" s="19" t="str">
        <x:v>ok</x:v>
      </x:c>
      <x:c r="L32" s="19" t="str"/>
    </x:row>
    <x:row r="33" ht="15" hidden="0" customHeight="1">
      <x:c r="A33" s="19" t="str">
        <x:v>Eel 22</x:v>
      </x:c>
      <x:c r="B33" s="19" t="str">
        <x:v>E22SW18</x:v>
      </x:c>
      <x:c r="C33" s="19" t="str">
        <x:v>SW18</x:v>
      </x:c>
      <x:c r="D33" s="19" t="str">
        <x:v>S1</x:v>
      </x:c>
      <x:c r="E33" s="24" t="n">
        <x:v>1</x:v>
      </x:c>
      <x:c r="F33" s="24" t="n">
        <x:v>7</x:v>
      </x:c>
      <x:c r="G33" s="24" t="n">
        <x:v>8</x:v>
      </x:c>
      <x:c r="H33" s="24" t="n">
        <x:v>7</x:v>
      </x:c>
      <x:c r="I33" s="19" t="str">
        <x:v>valid</x:v>
      </x:c>
      <x:c r="J33" s="19" t="str">
        <x:v>valid</x:v>
      </x:c>
      <x:c r="K33" s="19" t="str">
        <x:v>ok</x:v>
      </x:c>
      <x:c r="L33" s="19" t="str"/>
    </x:row>
    <x:row r="34" ht="15" hidden="0" customHeight="1">
      <x:c r="A34" s="19" t="str">
        <x:v>Eel 23</x:v>
      </x:c>
      <x:c r="B34" s="19" t="str">
        <x:v>E23SW18</x:v>
      </x:c>
      <x:c r="C34" s="19" t="str">
        <x:v>SW18</x:v>
      </x:c>
      <x:c r="D34" s="19" t="str">
        <x:v>S1</x:v>
      </x:c>
      <x:c r="E34" s="24" t="n">
        <x:v>1</x:v>
      </x:c>
      <x:c r="F34" s="24" t="n">
        <x:v>3</x:v>
      </x:c>
      <x:c r="G34" s="24" t="n">
        <x:v>4</x:v>
      </x:c>
      <x:c r="H34" s="24" t="n">
        <x:v>3</x:v>
      </x:c>
      <x:c r="I34" s="19" t="str">
        <x:v>valid</x:v>
      </x:c>
      <x:c r="J34" s="19" t="str">
        <x:v>boundary_estimate</x:v>
      </x:c>
      <x:c r="K34" s="19" t="str">
        <x:v>ok</x:v>
      </x:c>
      <x:c r="L34" s="19" t="str"/>
    </x:row>
    <x:row r="35" ht="15" hidden="0" customHeight="1">
      <x:c r="A35" s="19" t="str">
        <x:v>Eel 24</x:v>
      </x:c>
      <x:c r="B35" s="19" t="str">
        <x:v>E24SW18</x:v>
      </x:c>
      <x:c r="C35" s="19" t="str">
        <x:v>SW18</x:v>
      </x:c>
      <x:c r="D35" s="19" t="str">
        <x:v>S1</x:v>
      </x:c>
      <x:c r="E35" s="24" t="n">
        <x:v>1</x:v>
      </x:c>
      <x:c r="F35" s="24" t="n">
        <x:v>3</x:v>
      </x:c>
      <x:c r="G35" s="24" t="n">
        <x:v>4</x:v>
      </x:c>
      <x:c r="H35" s="24" t="n">
        <x:v>3</x:v>
      </x:c>
      <x:c r="I35" s="19" t="str">
        <x:v>valid</x:v>
      </x:c>
      <x:c r="J35" s="19" t="str">
        <x:v>valid</x:v>
      </x:c>
      <x:c r="K35" s="19" t="str">
        <x:v>ok</x:v>
      </x:c>
      <x:c r="L35" s="19" t="str"/>
    </x:row>
    <x:row r="36" ht="15" hidden="0" customHeight="1">
      <x:c r="A36" s="19" t="str">
        <x:v>Eel 25</x:v>
      </x:c>
      <x:c r="B36" s="19" t="str">
        <x:v>E25SW18</x:v>
      </x:c>
      <x:c r="C36" s="19" t="str">
        <x:v>SW18</x:v>
      </x:c>
      <x:c r="D36" s="19" t="str">
        <x:v>S1</x:v>
      </x:c>
      <x:c r="E36" s="24" t="n">
        <x:v>1</x:v>
      </x:c>
      <x:c r="F36" s="24" t="n">
        <x:v>3</x:v>
      </x:c>
      <x:c r="G36" s="24" t="n">
        <x:v>4</x:v>
      </x:c>
      <x:c r="H36" s="24" t="n">
        <x:v>3</x:v>
      </x:c>
      <x:c r="I36" s="19" t="str">
        <x:v>valid</x:v>
      </x:c>
      <x:c r="J36" s="19" t="str">
        <x:v>boundary_estimate</x:v>
      </x:c>
      <x:c r="K36" s="19" t="str">
        <x:v>ok</x:v>
      </x:c>
      <x:c r="L36" s="19" t="str"/>
    </x:row>
  </x:sheetData>
  <x:conditionalFormatting sqref="K2:K36">
    <x:cfRule type="cellIs" dxfId="1" priority="1">
      <x:formula>"no_speed_step_data"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7898d93da5d408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15" hidden="0" customHeight="1">
      <x:c r="A1" s="18" t="str">
        <x:v>Item</x:v>
      </x:c>
      <x:c r="B1" s="18" t="str">
        <x:v>Description</x:v>
      </x:c>
    </x:row>
    <x:row r="2" ht="15" hidden="0" customHeight="1">
      <x:c r="A2" s="19" t="str">
        <x:v>Purpose</x:v>
      </x:c>
      <x:c r="B2" s="19" t="str">
        <x:v>Supplementary Table S3 provides speed-step-level MO2 and COT data used to derive individual-level active-swimming metrics in Table S2.</x:v>
      </x:c>
    </x:row>
    <x:row r="3" ht="15" hidden="0" customHeight="1">
      <x:c r="A3" s="19" t="str">
        <x:v>Row unit</x:v>
      </x:c>
      <x:c r="B3" s="19" t="str">
        <x:v>One row represents one measured speed step within one fish × experimental condition trial.</x:v>
      </x:c>
    </x:row>
    <x:row r="4" ht="15" hidden="0" customHeight="1">
      <x:c r="A4" s="19" t="str">
        <x:v>Low-flow row</x:v>
      </x:c>
      <x:c r="B4" s="19" t="str">
        <x:v>The 0.1 m s^-1 row is retained and flagged as lowflow_0.1_m_s; it is not treated as an active-speed step for Uopt/minCOT.</x:v>
      </x:c>
    </x:row>
    <x:row r="5" ht="15" hidden="0" customHeight="1">
      <x:c r="A5" s="19" t="str">
        <x:v>Active-speed rows</x:v>
      </x:c>
      <x:c r="B5" s="19" t="str">
        <x:v>Speeds &gt;= 0.4 m s^-1 with non-missing MO2 and COT are flagged as used_for_active_metrics=TRUE.</x:v>
      </x:c>
    </x:row>
    <x:row r="6" ht="15" hidden="0" customHeight="1">
      <x:c r="A6" s="19" t="str">
        <x:v>Uopt flag</x:v>
      </x:c>
      <x:c r="B6" s="19" t="str">
        <x:v>is_uopt_speed=TRUE marks the observed active speed at which COT was lowest according to the Table S2 definition.</x:v>
      </x:c>
    </x:row>
    <x:row r="7" ht="15" hidden="0" customHeight="1">
      <x:c r="A7" s="19" t="str">
        <x:v>Speed header correction</x:v>
      </x:c>
      <x:c r="B7" s="19" t="str">
        <x:v>The intended swimming-speed sequence is 0.1, 0.4, 0.5, 0.6, 0.7, 0.8, 0.9, 1.0, 1.1, 1.2, and 1.3 m s^-1. The source workbook contained mislabeled speed headers, so Table S3 uses this confirmed sequence.</x:v>
      </x:c>
    </x:row>
    <x:row r="8" ht="15" hidden="0" customHeight="1">
      <x:c r="A8" s="19" t="str">
        <x:v>Missing trials</x:v>
      </x:c>
      <x:c r="B8" s="19" t="str">
        <x:v>Trials without non-missing speed-step MO2/COT values are listed in Coverage_by_trial and QC_check.</x:v>
      </x:c>
    </x:row>
    <x:row r="9" ht="15" hidden="0" customHeight="1">
      <x:c r="A9" s="19" t="str">
        <x:v>Source files</x:v>
      </x:c>
      <x:c r="B9" s="19" t="str">
        <x:v>Generated from Table_S2_verified.xlsx and データ整理・再解析.xlsx.</x:v>
      </x:c>
    </x:row>
    <x:row r="10">
      <x:c r="A10" s="14" t="str">
        <x:v>Confirmed missing trials</x:v>
      </x:c>
      <x:c r="B10" s="14" t="str">
        <x:v>Eel 9 FW25 and Eel 11 SW18 have no usable speed-step MO2/COT data and are retained as missing in Coverage_by_trial/QC_check.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 ht="15" hidden="0" customHeight="1">
      <x:c r="A1" s="18" t="str">
        <x:v>Column</x:v>
      </x:c>
      <x:c r="B1" s="18" t="str">
        <x:v>Definition</x:v>
      </x:c>
    </x:row>
    <x:row r="2" ht="15" hidden="0" customHeight="1">
      <x:c r="A2" s="19" t="str">
        <x:v>fish_code</x:v>
      </x:c>
      <x:c r="B2" s="19" t="str">
        <x:v>Fish identifier consistent with Tables S1/S2.</x:v>
      </x:c>
    </x:row>
    <x:row r="3" ht="15" hidden="0" customHeight="1">
      <x:c r="A3" s="19" t="str">
        <x:v>trial_id</x:v>
      </x:c>
      <x:c r="B3" s="19" t="str">
        <x:v>Unique fish × condition trial identifier from Table S2.</x:v>
      </x:c>
    </x:row>
    <x:row r="4" ht="15" hidden="0" customHeight="1">
      <x:c r="A4" s="19" t="str">
        <x:v>experiment_month</x:v>
      </x:c>
      <x:c r="B4" s="19" t="str">
        <x:v>Experiment month reported at month-level precision (YYYY-MM).</x:v>
      </x:c>
    </x:row>
    <x:row r="5" ht="15" hidden="0" customHeight="1">
      <x:c r="A5" s="19" t="str">
        <x:v>cohort_id</x:v>
      </x:c>
      <x:c r="B5" s="19" t="str">
        <x:v>Collection/acquisition cohort year.</x:v>
      </x:c>
    </x:row>
    <x:row r="6" ht="15" hidden="0" customHeight="1">
      <x:c r="A6" s="19" t="str">
        <x:v>silvering_stage</x:v>
      </x:c>
      <x:c r="B6" s="19" t="str">
        <x:v>Y1, Y2, or S1 silvering stage.</x:v>
      </x:c>
    </x:row>
    <x:row r="7" ht="15" hidden="0" customHeight="1">
      <x:c r="A7" s="19" t="str">
        <x:v>trial_order</x:v>
      </x:c>
      <x:c r="B7" s="19" t="str">
        <x:v>Order of the trial for that individual.</x:v>
      </x:c>
    </x:row>
    <x:row r="8" ht="15" hidden="0" customHeight="1">
      <x:c r="A8" s="19" t="str">
        <x:v>experimental_condition</x:v>
      </x:c>
      <x:c r="B8" s="19" t="str">
        <x:v>FW25, FW18, or SW18.</x:v>
      </x:c>
    </x:row>
    <x:row r="9" ht="15" hidden="0" customHeight="1">
      <x:c r="A9" s="19" t="str">
        <x:v>water_medium</x:v>
      </x:c>
      <x:c r="B9" s="19" t="str">
        <x:v>Freshwater or Seawater.</x:v>
      </x:c>
    </x:row>
    <x:row r="10" ht="15" hidden="0" customHeight="1">
      <x:c r="A10" s="19" t="str">
        <x:v>temperature_c</x:v>
      </x:c>
      <x:c r="B10" s="19" t="str">
        <x:v>Experimental water temperature in degrees Celsius.</x:v>
      </x:c>
    </x:row>
    <x:row r="11" ht="15" hidden="0" customHeight="1">
      <x:c r="A11" s="19" t="str">
        <x:v>tl_used_cm</x:v>
      </x:c>
      <x:c r="B11" s="19" t="str">
        <x:v>Total length used to standardize swimming speed.</x:v>
      </x:c>
    </x:row>
    <x:row r="12" ht="15" hidden="0" customHeight="1">
      <x:c r="A12" s="19" t="str">
        <x:v>bw_used_g</x:v>
      </x:c>
      <x:c r="B12" s="19" t="str">
        <x:v>Body weight used in MO2 calculations.</x:v>
      </x:c>
    </x:row>
    <x:row r="13" ht="15" hidden="0" customHeight="1">
      <x:c r="A13" s="19" t="str">
        <x:v>swimming_speed_m_s</x:v>
      </x:c>
      <x:c r="B13" s="19" t="str">
        <x:v>Flow/swimming speed in m s^-1.</x:v>
      </x:c>
    </x:row>
    <x:row r="14" ht="15" hidden="0" customHeight="1">
      <x:c r="A14" s="19" t="str">
        <x:v>swimming_speed_tl_s</x:v>
      </x:c>
      <x:c r="B14" s="19" t="str">
        <x:v>Swimming speed standardized by TL, calculated as speed/(TL cm/100).</x:v>
      </x:c>
    </x:row>
    <x:row r="15" ht="15" hidden="0" customHeight="1">
      <x:c r="A15" s="19" t="str">
        <x:v>mo2_mg_o2_kg_h</x:v>
      </x:c>
      <x:c r="B15" s="19" t="str">
        <x:v>Mass-specific oxygen consumption rate from the MO2 sheet.</x:v>
      </x:c>
    </x:row>
    <x:row r="16" ht="15" hidden="0" customHeight="1">
      <x:c r="A16" s="19" t="str">
        <x:v>cot_mg_o2_kg_km</x:v>
      </x:c>
      <x:c r="B16" s="19" t="str">
        <x:v>Cost of transport from the COT sheet.</x:v>
      </x:c>
    </x:row>
    <x:row r="17" ht="15" hidden="0" customHeight="1">
      <x:c r="A17" s="19" t="str">
        <x:v>is_lowflow_0_1_m_s</x:v>
      </x:c>
      <x:c r="B17" s="19" t="str">
        <x:v>TRUE for the 0.1 m s^-1 low-flow row.</x:v>
      </x:c>
    </x:row>
    <x:row r="18" ht="15" hidden="0" customHeight="1">
      <x:c r="A18" s="19" t="str">
        <x:v>is_active_speed</x:v>
      </x:c>
      <x:c r="B18" s="19" t="str">
        <x:v>TRUE for speeds &gt;= 0.4 m s^-1.</x:v>
      </x:c>
    </x:row>
    <x:row r="19" ht="15" hidden="0" customHeight="1">
      <x:c r="A19" s="19" t="str">
        <x:v>is_uopt_speed</x:v>
      </x:c>
      <x:c r="B19" s="19" t="str">
        <x:v>TRUE for the active speed used as Uopt in Table S2.</x:v>
      </x:c>
    </x:row>
    <x:row r="20" ht="15" hidden="0" customHeight="1">
      <x:c r="A20" s="19" t="str">
        <x:v>used_for_active_metrics</x:v>
      </x:c>
      <x:c r="B20" s="19" t="str">
        <x:v>TRUE for active speeds with both MO2 and COT present.</x:v>
      </x:c>
    </x:row>
    <x:row r="21" ht="15" hidden="0" customHeight="1">
      <x:c r="A21" s="19" t="str">
        <x:v>speed_step_status</x:v>
      </x:c>
      <x:c r="B21" s="19" t="str">
        <x:v>Classifies each row as lowflow_0.1_m_s, active_measured, uopt_speed, mo2_only, or cot_only.</x:v>
      </x:c>
    </x:row>
    <x:row r="22" ht="15" hidden="0" customHeight="1">
      <x:c r="A22" s="19" t="str">
        <x:v>table_s2_uopt_m_s</x:v>
      </x:c>
      <x:c r="B22" s="19" t="str">
        <x:v>Uopt value recorded in Table S2 for the same trial.</x:v>
      </x:c>
    </x:row>
    <x:row r="23" ht="15" hidden="0" customHeight="1">
      <x:c r="A23" s="19" t="str">
        <x:v>table_s2_mincot_mg_o2_kg_km</x:v>
      </x:c>
      <x:c r="B23" s="19" t="str">
        <x:v>minCOT value recorded in Table S2 for the same trial.</x:v>
      </x:c>
    </x:row>
    <x:row r="24" ht="15" hidden="0" customHeight="1">
      <x:c r="A24" s="19" t="str">
        <x:v>table_s2_mo2_at_uopt_mg_o2_kg_h</x:v>
      </x:c>
      <x:c r="B24" s="19" t="str">
        <x:v>MO2 at Uopt recorded in Table S2 for the same trial.</x:v>
      </x:c>
    </x:row>
    <x:row r="25" ht="15" hidden="0" customHeight="1">
      <x:c r="A25" s="19" t="str">
        <x:v>uopt_position_flag</x:v>
      </x:c>
      <x:c r="B25" s="19" t="str">
        <x:v>Position of the COT minimum from Table S2.</x:v>
      </x:c>
    </x:row>
    <x:row r="26" ht="15" hidden="0" customHeight="1">
      <x:c r="A26" s="19" t="str">
        <x:v>active_metrics_status</x:v>
      </x:c>
      <x:c r="B26" s="19" t="str">
        <x:v>Status of active-swimming metrics from Table S2.</x:v>
      </x:c>
    </x:row>
    <x:row r="27" ht="15" hidden="0" customHeight="1">
      <x:c r="A27" s="19" t="str">
        <x:v>source_raw_mo2_row</x:v>
      </x:c>
      <x:c r="B27" s="19" t="str">
        <x:v>Excel row number in the MO2 source sheet.</x:v>
      </x:c>
    </x:row>
    <x:row r="28" ht="15" hidden="0" customHeight="1">
      <x:c r="A28" s="19" t="str">
        <x:v>source_raw_cot_row</x:v>
      </x:c>
      <x:c r="B28" s="19" t="str">
        <x:v>Excel row number in the COT source sheet.</x:v>
      </x:c>
    </x:row>
    <x:row r="29" ht="15" hidden="0" customHeight="1">
      <x:c r="A29" s="19" t="str">
        <x:v>notes</x:v>
      </x:c>
      <x:c r="B29" s="19" t="str">
        <x:v>Trial- or speed-specific notes.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80" hidden="0" customWidth="1"/>
  </x:cols>
  <x:sheetData>
    <x:row r="1" ht="15" hidden="0" customHeight="1">
      <x:c r="A1" s="18" t="str">
        <x:v>Check</x:v>
      </x:c>
      <x:c r="B1" s="18" t="str">
        <x:v>Result</x:v>
      </x:c>
      <x:c r="C1" s="18" t="str">
        <x:v>Notes</x:v>
      </x:c>
    </x:row>
    <x:row r="2" ht="15" hidden="0" customHeight="1">
      <x:c r="A2" s="19" t="str">
        <x:v>Table S2 trials</x:v>
      </x:c>
      <x:c r="B2" s="19" t="n">
        <x:v>35</x:v>
      </x:c>
      <x:c r="C2" s="19" t="str">
        <x:v>Expected 35</x:v>
      </x:c>
    </x:row>
    <x:row r="3" ht="15" hidden="0" customHeight="1">
      <x:c r="A3" s="19" t="str">
        <x:v>Table S3 measured speed-step rows</x:v>
      </x:c>
      <x:c r="B3" s="19" t="n">
        <x:v>146</x:v>
      </x:c>
      <x:c r="C3" s="19" t="str">
        <x:v>Rows with at least one non-missing MO2 or COT value</x:v>
      </x:c>
    </x:row>
    <x:row r="4" ht="15" hidden="0" customHeight="1">
      <x:c r="A4" s="19" t="str">
        <x:v>Trials with no speed-step data</x:v>
      </x:c>
      <x:c r="B4" s="19" t="n">
        <x:v>2</x:v>
      </x:c>
      <x:c r="C4" s="19" t="str">
        <x:v>Eel 9 E09FW25 FW25; Eel 11 E11SW18 SW18</x:v>
      </x:c>
    </x:row>
    <x:row r="5" ht="15" hidden="0" customHeight="1">
      <x:c r="A5" s="19" t="str">
        <x:v>Coverage rows with status ok</x:v>
      </x:c>
      <x:c r="B5" s="19" t="n">
        <x:v>33</x:v>
      </x:c>
      <x:c r="C5" s="19" t="str"/>
    </x:row>
    <x:row r="6" ht="15" hidden="0" customHeight="1">
      <x:c r="A6" s="19" t="str">
        <x:v>Coverage rows with no_speed_step_data</x:v>
      </x:c>
      <x:c r="B6" s="19" t="n">
        <x:v>2</x:v>
      </x:c>
      <x:c r="C6" s="19" t="str"/>
    </x:row>
    <x:row r="7" ht="15" hidden="0" customHeight="1">
      <x:c r="A7" s="19" t="str">
        <x:v>Active n matches Table S2</x:v>
      </x:c>
      <x:c r="B7" s="19" t="str">
        <x:v>PASS</x:v>
      </x:c>
      <x:c r="C7" s="19" t="str">
        <x:v>0 mismatches</x:v>
      </x:c>
    </x:row>
    <x:row r="8" ht="15" hidden="0" customHeight="1">
      <x:c r="A8" s="19" t="str">
        <x:v>Uopt speed flag consistency</x:v>
      </x:c>
      <x:c r="B8" s="19" t="str">
        <x:v>PASS</x:v>
      </x:c>
      <x:c r="C8" s="19" t="str">
        <x:v>0 mismatches</x:v>
      </x:c>
    </x:row>
    <x:row r="9" ht="15" hidden="0" customHeight="1">
      <x:c r="A9" s="19" t="str">
        <x:v>Low-flow MO2 rows</x:v>
      </x:c>
      <x:c r="B9" s="19" t="n">
        <x:v>33</x:v>
      </x:c>
      <x:c r="C9" s="19" t="str"/>
    </x:row>
    <x:row r="10" ht="15" hidden="0" customHeight="1">
      <x:c r="A10" s="19" t="str">
        <x:v>Active rows used for active metrics</x:v>
      </x:c>
      <x:c r="B10" s="19" t="n">
        <x:v>113</x:v>
      </x:c>
      <x:c r="C10" s="19" t="str"/>
    </x:row>
    <x:row r="11" ht="15" hidden="0" customHeight="1">
      <x:c r="A11" s="19" t="str">
        <x:v>Rows with status: active_measured</x:v>
      </x:c>
      <x:c r="B11" s="19" t="n">
        <x:v>86</x:v>
      </x:c>
      <x:c r="C11" s="19" t="str"/>
    </x:row>
    <x:row r="12" ht="15" hidden="0" customHeight="1">
      <x:c r="A12" s="19" t="str">
        <x:v>Rows with status: lowflow_0.1_m_s</x:v>
      </x:c>
      <x:c r="B12" s="19" t="n">
        <x:v>33</x:v>
      </x:c>
      <x:c r="C12" s="19" t="str"/>
    </x:row>
    <x:row r="13" ht="15" hidden="0" customHeight="1">
      <x:c r="A13" s="19" t="str">
        <x:v>Rows with status: uopt_speed</x:v>
      </x:c>
      <x:c r="B13" s="19" t="n">
        <x:v>27</x:v>
      </x:c>
      <x:c r="C13" s="19" t="str"/>
    </x:row>
    <x:row r="14">
      <x:c r="A14" s="14" t="str">
        <x:v>User-confirmed missing trials</x:v>
      </x:c>
      <x:c r="B14" s="14" t="str">
        <x:v>PASS</x:v>
      </x:c>
      <x:c r="C14" s="14" t="str">
        <x:v>Eel 9 FW25 and Eel 11 SW18 are confirmed missing.</x:v>
      </x:c>
    </x:row>
    <x:row r="15">
      <x:c r="A15" s="14" t="str">
        <x:v>User-confirmed speed sequence</x:v>
      </x:c>
      <x:c r="B15" s="14" t="str">
        <x:v>PASS</x:v>
      </x:c>
      <x:c r="C15" s="14" t="str">
        <x:v>0.1, 0.4, 0.5, 0.6, 0.7, 0.8, 0.9, 1.0, 1.1, 1.2, 1.3 m s^-1</x:v>
      </x:c>
    </x:row>
  </x:sheetData>
  <x:pageMargins left="0.7" right="0.7" top="0.75" bottom="0.75" header="0.3" footer="0.3"/>
  <x:tableParts count="1">
    <x:tablePart xmlns:r="http://schemas.openxmlformats.org/officeDocument/2006/relationships" r:id="R2e052e4e0f044c42"/>
  </x:tableParts>
</x:worksheet>
</file>