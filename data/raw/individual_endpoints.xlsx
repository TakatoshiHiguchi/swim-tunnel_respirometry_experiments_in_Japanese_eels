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7d1a40166d4a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466eac937854d79"/>
    <x:sheet xmlns:r="http://schemas.openxmlformats.org/officeDocument/2006/relationships" name="Derivation_log" sheetId="2" r:id="R9b1f5a0b5cb84f98"/>
    <x:sheet xmlns:r="http://schemas.openxmlformats.org/officeDocument/2006/relationships" name="README_S2" sheetId="3" r:id="Rc53379663fbf46e1"/>
    <x:sheet xmlns:r="http://schemas.openxmlformats.org/officeDocument/2006/relationships" name="QC_check" sheetId="4" r:id="R15ad526dca394bc8"/>
  </x:sheets>
</x:workbook>
</file>

<file path=xl/sharedStrings.xml><?xml version="1.0" encoding="utf-8"?>
<x:sst xmlns:x="http://schemas.openxmlformats.org/spreadsheetml/2006/main">
  <x:si>
    <x:t xml:space="preserve">fish_code</x:t>
  </x:si>
  <x:si>
    <x:t xml:space="preserve">trial_id</x:t>
  </x:si>
  <x:si>
    <x:t xml:space="preserve">experiment_month</x:t>
  </x:si>
  <x:si>
    <x:t xml:space="preserve">cohort_id</x:t>
  </x:si>
  <x:si>
    <x:t xml:space="preserve">silvering_stage</x:t>
  </x:si>
  <x:si>
    <x:t xml:space="preserve">trial_order</x:t>
  </x:si>
  <x:si>
    <x:t xml:space="preserve">experimental_condition</x:t>
  </x:si>
  <x:si>
    <x:t xml:space="preserve">water_medium</x:t>
  </x:si>
  <x:si>
    <x:t xml:space="preserve">temperature_c</x:t>
  </x:si>
  <x:si>
    <x:t xml:space="preserve">salinity_psu</x:t>
  </x:si>
  <x:si>
    <x:t xml:space="preserve">tl_used_cm</x:t>
  </x:si>
  <x:si>
    <x:t xml:space="preserve">bw_used_g</x:t>
  </x:si>
  <x:si>
    <x:t xml:space="preserve">initial_lab_holding_condition</x:t>
  </x:si>
  <x:si>
    <x:t xml:space="preserve">initial_lab_holding_days_approx</x:t>
  </x:si>
  <x:si>
    <x:t xml:space="preserve">previous_trial_condition</x:t>
  </x:si>
  <x:si>
    <x:t xml:space="preserve">inter_trial_interval_days</x:t>
  </x:si>
  <x:si>
    <x:t xml:space="preserve">final_pretrial_condition</x:t>
  </x:si>
  <x:si>
    <x:t xml:space="preserve">final_pretrial_period_days</x:t>
  </x:si>
  <x:si>
    <x:t xml:space="preserve">fasting_duration_days</x:t>
  </x:si>
  <x:si>
    <x:t xml:space="preserve">fasting_note</x:t>
  </x:si>
  <x:si>
    <x:t xml:space="preserve">ucrit_m_s</x:t>
  </x:si>
  <x:si>
    <x:t xml:space="preserve">ucrit_tl_s</x:t>
  </x:si>
  <x:si>
    <x:t xml:space="preserve">uopt_m_s</x:t>
  </x:si>
  <x:si>
    <x:t xml:space="preserve">uopt_tl_s</x:t>
  </x:si>
  <x:si>
    <x:t xml:space="preserve">mincot_mg_o2_kg_km</x:t>
  </x:si>
  <x:si>
    <x:t xml:space="preserve">mo2_at_uopt_mg_o2_kg_h</x:t>
  </x:si>
  <x:si>
    <x:t xml:space="preserve">mo2_at_0_1_m_s_mg_o2_kg_h</x:t>
  </x:si>
  <x:si>
    <x:t xml:space="preserve">n_active_speed_steps</x:t>
  </x:si>
  <x:si>
    <x:t xml:space="preserve">uopt_position_flag</x:t>
  </x:si>
  <x:si>
    <x:t xml:space="preserve">ucrit_status</x:t>
  </x:si>
  <x:si>
    <x:t xml:space="preserve">active_metrics_status</x:t>
  </x:si>
  <x:si>
    <x:t xml:space="preserve">lowflow_mo2_status</x:t>
  </x:si>
  <x:si>
    <x:t xml:space="preserve">missing_or_exclusion_reason</x:t>
  </x:si>
  <x:si>
    <x:t xml:space="preserve">notes</x:t>
  </x:si>
  <x:si>
    <x:t xml:space="preserve">Eel 1</x:t>
  </x:si>
  <x:si>
    <x:t xml:space="preserve">E01FW25</x:t>
  </x:si>
  <x:si>
    <x:t xml:space="preserve">Y1</x:t>
  </x:si>
  <x:si>
    <x:t xml:space="preserve">FW25</x:t>
  </x:si>
  <x:si>
    <x:t xml:space="preserve">Freshwater</x:t>
  </x:si>
  <x:si>
    <x:t xml:space="preserve">-</x:t>
  </x:si>
  <x:si>
    <x:t xml:space="preserve">~1 month</x:t>
  </x:si>
  <x:si>
    <x:t xml:space="preserve">none</x:t>
  </x:si>
  <x:si>
    <x:t xml:space="preserve">highest_observed_speed</x:t>
  </x:si>
  <x:si>
    <x:t xml:space="preserve">valid</x:t>
  </x:si>
  <x:si>
    <x:t xml:space="preserve">boundary_estimate</x:t>
  </x:si>
  <x:si>
    <x:t xml:space="preserve">Minimum observed active COT occurred at the boundary of observed active speeds.; Original Uopt&amp;Ucrit Uopt value was 0.71; Table S2 uses observed COT-minimum speed.</x:t>
  </x:si>
  <x:si>
    <x:t xml:space="preserve">Eel 2</x:t>
  </x:si>
  <x:si>
    <x:t xml:space="preserve">E02FW25</x:t>
  </x:si>
  <x:si>
    <x:t xml:space="preserve">Minimum observed active COT occurred at the boundary of observed active speeds.; Original Uopt&amp;Ucrit Uopt value was 0.44; Table S2 uses observed COT-minimum speed.</x:t>
  </x:si>
  <x:si>
    <x:t xml:space="preserve">Eel 3</x:t>
  </x:si>
  <x:si>
    <x:t xml:space="preserve">E03FW25</x:t>
  </x:si>
  <x:si>
    <x:t xml:space="preserve">lowest_active_speed</x:t>
  </x:si>
  <x:si>
    <x:t xml:space="preserve">Minimum observed active COT occurred at the boundary of observed active speeds.; Original Uopt&amp;Ucrit Uopt value was 0.59; Table S2 uses observed COT-minimum speed.</x:t>
  </x:si>
  <x:si>
    <x:t xml:space="preserve">Eel 4</x:t>
  </x:si>
  <x:si>
    <x:t xml:space="preserve">E04FW25</x:t>
  </x:si>
  <x:si>
    <x:t xml:space="preserve">single_active_point</x:t>
  </x:si>
  <x:si>
    <x:t xml:space="preserve">boundary_ambiguous</x:t>
  </x:si>
  <x:si>
    <x:t xml:space="preserve">Ucrit equals a 0.1 m s-1 speed-step boundary; reconstructed Uf/tf are ambiguous.; Only one valid active-speed MO2/COT point was available.; Original Uopt&amp;Ucrit Uopt value was &lt;0.4.</x:t>
  </x:si>
  <x:si>
    <x:t xml:space="preserve">Eel 5</x:t>
  </x:si>
  <x:si>
    <x:t xml:space="preserve">E05FW25</x:t>
  </x:si>
  <x:si>
    <x:t xml:space="preserve">Minimum observed active COT occurred at the boundary of observed active speeds.</x:t>
  </x:si>
  <x:si>
    <x:t xml:space="preserve">Eel 6</x:t>
  </x:si>
  <x:si>
    <x:t xml:space="preserve">E06FW25</x:t>
  </x:si>
  <x:si>
    <x:t xml:space="preserve">Y2</x:t>
  </x:si>
  <x:si>
    <x:t xml:space="preserve">Minimum observed active COT occurred at the boundary of observed active speeds.; Original Uopt&amp;Ucrit Uopt value was 0.64; Table S2 uses observed COT-minimum speed.</x:t>
  </x:si>
  <x:si>
    <x:t xml:space="preserve">Eel 7</x:t>
  </x:si>
  <x:si>
    <x:t xml:space="preserve">E07FW25</x:t>
  </x:si>
  <x:si>
    <x:t xml:space="preserve">interior_minimum</x:t>
  </x:si>
  <x:si>
    <x:t xml:space="preserve">Eel 8</x:t>
  </x:si>
  <x:si>
    <x:t xml:space="preserve">E08FW25</x:t>
  </x:si>
  <x:si>
    <x:t xml:space="preserve">Minimum observed active COT occurred at the boundary of observed active speeds.; Original Uopt&amp;Ucrit Uopt value was 0.48; Table S2 uses observed COT-minimum speed.</x:t>
  </x:si>
  <x:si>
    <x:t xml:space="preserve">Eel 9</x:t>
  </x:si>
  <x:si>
    <x:t xml:space="preserve">E09FW25</x:t>
  </x:si>
  <x:si>
    <x:t xml:space="preserve">not_estimable</x:t>
  </x:si>
  <x:si>
    <x:t xml:space="preserve">No valid active-speed MO2/COT values (&gt;=0.4 m s-1).; Low-flow MO2 at 0.1 m s-1 missing.</x:t>
  </x:si>
  <x:si>
    <x:t xml:space="preserve">Original Uopt&amp;Ucrit Uopt value was &lt;0.4.</x:t>
  </x:si>
  <x:si>
    <x:t xml:space="preserve">Eel 10</x:t>
  </x:si>
  <x:si>
    <x:t xml:space="preserve">E10FW25</x:t>
  </x:si>
  <x:si>
    <x:t xml:space="preserve">E01FW18</x:t>
  </x:si>
  <x:si>
    <x:t xml:space="preserve">FW18</x:t>
  </x:si>
  <x:si>
    <x:t xml:space="preserve">No valid active-speed MO2/COT values (&gt;=0.4 m s-1).</x:t>
  </x:si>
  <x:si>
    <x:t xml:space="preserve">E02FW18</x:t>
  </x:si>
  <x:si>
    <x:t xml:space="preserve">Original Uopt&amp;Ucrit Uopt value was 0.58; Table S2 uses observed COT-minimum speed.</x:t>
  </x:si>
  <x:si>
    <x:t xml:space="preserve">E03FW18</x:t>
  </x:si>
  <x:si>
    <x:t xml:space="preserve">Ucrit equals a 0.1 m s-1 speed-step boundary; reconstructed Uf/tf are ambiguous.; Original Uopt&amp;Ucrit Uopt value was &lt;0.4.</x:t>
  </x:si>
  <x:si>
    <x:t xml:space="preserve">E04FW18</x:t>
  </x:si>
  <x:si>
    <x:t xml:space="preserve">protocol_check</x:t>
  </x:si>
  <x:si>
    <x:t xml:space="preserve">Ucrit below 0.4 m s-1; Uf/tf reconstructed assuming previous complete speed of 0.3 m s-1.; Original Uopt&amp;Ucrit Uopt value was &lt;0.4.</x:t>
  </x:si>
  <x:si>
    <x:t xml:space="preserve">E05FW18</x:t>
  </x:si>
  <x:si>
    <x:t xml:space="preserve">E06FW18</x:t>
  </x:si>
  <x:si>
    <x:t xml:space="preserve">E07FW18</x:t>
  </x:si>
  <x:si>
    <x:t xml:space="preserve">E08FW18</x:t>
  </x:si>
  <x:si>
    <x:t xml:space="preserve">Only one valid active-speed MO2/COT point was available.; Original Uopt&amp;Ucrit Uopt value was &lt;0.4.</x:t>
  </x:si>
  <x:si>
    <x:t xml:space="preserve">E09FW18</x:t>
  </x:si>
  <x:si>
    <x:t xml:space="preserve">E10FW18</x:t>
  </x:si>
  <x:si>
    <x:t xml:space="preserve">Eel 11</x:t>
  </x:si>
  <x:si>
    <x:t xml:space="preserve">E11SW18</x:t>
  </x:si>
  <x:si>
    <x:t xml:space="preserve">SW18</x:t>
  </x:si>
  <x:si>
    <x:t xml:space="preserve">Seawater</x:t>
  </x:si>
  <x:si>
    <x:t xml:space="preserve">Fasted during the final 3 days before the SW18 trial</x:t>
  </x:si>
  <x:si>
    <x:t xml:space="preserve">Ucrit missing in source Uopt&amp;Ucrit sheet.; No valid active-speed MO2/COT values (&gt;=0.4 m s-1).; Low-flow MO2 at 0.1 m s-1 missing.</x:t>
  </x:si>
  <x:si>
    <x:t xml:space="preserve">Eel 12</x:t>
  </x:si>
  <x:si>
    <x:t xml:space="preserve">E12SW18</x:t>
  </x:si>
  <x:si>
    <x:t xml:space="preserve">Original Uopt&amp;Ucrit Uopt value was 0.66; Table S2 uses observed COT-minimum speed.</x:t>
  </x:si>
  <x:si>
    <x:t xml:space="preserve">Eel 13</x:t>
  </x:si>
  <x:si>
    <x:t xml:space="preserve">E13SW18</x:t>
  </x:si>
  <x:si>
    <x:t xml:space="preserve">Eel 14</x:t>
  </x:si>
  <x:si>
    <x:t xml:space="preserve">E14SW18</x:t>
  </x:si>
  <x:si>
    <x:t xml:space="preserve">Minimum observed active COT occurred at the boundary of observed active speeds.; Original Uopt&amp;Ucrit Uopt value was 0.52; Table S2 uses observed COT-minimum speed.</x:t>
  </x:si>
  <x:si>
    <x:t xml:space="preserve">Eel 15</x:t>
  </x:si>
  <x:si>
    <x:t xml:space="preserve">E15SW18</x:t>
  </x:si>
  <x:si>
    <x:t xml:space="preserve">Ucrit equals a 0.1 m s-1 speed-step boundary; reconstructed Uf/tf are ambiguous.; Minimum observed active COT occurred at the boundary of observed active speeds.; Original Uopt&amp;Ucrit Uopt value was 0.49; Table S2 uses observed COT-minimum speed.</x:t>
  </x:si>
  <x:si>
    <x:t xml:space="preserve">Eel 16</x:t>
  </x:si>
  <x:si>
    <x:t xml:space="preserve">E16SW18</x:t>
  </x:si>
  <x:si>
    <x:t xml:space="preserve">Original Uopt&amp;Ucrit Uopt value was 0.42; Table S2 uses observed COT-minimum speed.</x:t>
  </x:si>
  <x:si>
    <x:t xml:space="preserve">Eel 17</x:t>
  </x:si>
  <x:si>
    <x:t xml:space="preserve">E17SW18</x:t>
  </x:si>
  <x:si>
    <x:t xml:space="preserve">Original Uopt&amp;Ucrit Uopt value was 0.59; Table S2 uses observed COT-minimum speed.</x:t>
  </x:si>
  <x:si>
    <x:t xml:space="preserve">Eel 18</x:t>
  </x:si>
  <x:si>
    <x:t xml:space="preserve">E18SW18</x:t>
  </x:si>
  <x:si>
    <x:t xml:space="preserve">S1</x:t>
  </x:si>
  <x:si>
    <x:t xml:space="preserve">Ucrit equals a 0.1 m s-1 speed-step boundary; reconstructed Uf/tf are ambiguous.; Minimum observed active COT occurred at the boundary of observed active speeds.; Original Uopt&amp;Ucrit Uopt value was 0.63; Table S2 uses observed COT-minimum speed.</x:t>
  </x:si>
  <x:si>
    <x:t xml:space="preserve">Eel 19</x:t>
  </x:si>
  <x:si>
    <x:t xml:space="preserve">E19SW18</x:t>
  </x:si>
  <x:si>
    <x:t xml:space="preserve">Original Uopt&amp;Ucrit Uopt value was 0.73; Table S2 uses observed COT-minimum speed.</x:t>
  </x:si>
  <x:si>
    <x:t xml:space="preserve">Eel 20</x:t>
  </x:si>
  <x:si>
    <x:t xml:space="preserve">E20SW18</x:t>
  </x:si>
  <x:si>
    <x:t xml:space="preserve">Eel 21</x:t>
  </x:si>
  <x:si>
    <x:t xml:space="preserve">E21SW18</x:t>
  </x:si>
  <x:si>
    <x:t xml:space="preserve">Eel 22</x:t>
  </x:si>
  <x:si>
    <x:t xml:space="preserve">E22SW18</x:t>
  </x:si>
  <x:si>
    <x:t xml:space="preserve">Eel 23</x:t>
  </x:si>
  <x:si>
    <x:t xml:space="preserve">E23SW18</x:t>
  </x:si>
  <x:si>
    <x:t xml:space="preserve">Eel 24</x:t>
  </x:si>
  <x:si>
    <x:t xml:space="preserve">E24SW18</x:t>
  </x:si>
  <x:si>
    <x:t xml:space="preserve">Eel 25</x:t>
  </x:si>
  <x:si>
    <x:t xml:space="preserve">E25SW18</x:t>
  </x:si>
  <x:si>
    <x:t xml:space="preserve">Minimum observed active COT occurred at the boundary of observed active speeds.; Original Uopt&amp;Ucrit Uopt value was 0.5; Table S2 uses observed COT-minimum speed.</x:t>
  </x:si>
</x:sst>
</file>

<file path=xl/styles.xml><?xml version="1.0" encoding="utf-8"?>
<x:styleSheet xmlns:x="http://schemas.openxmlformats.org/spreadsheetml/2006/main">
  <x:numFmts count="4">
    <x:numFmt numFmtId="176" formatCode="0.000"/>
    <x:numFmt numFmtId="177" formatCode="0.0"/>
    <x:numFmt numFmtId="178" formatCode="0.0000"/>
    <x:numFmt numFmtId="200" formatCode="@"/>
  </x:numFmts>
  <x:fonts count="9">
    <x:font>
      <x:sz val="12"/>
      <x:color theme="1"/>
      <x:name val="游ゴシック"/>
    </x:font>
    <x:font>
      <x:sz val="12"/>
      <x:color theme="1"/>
      <x:name val="Times New Roman"/>
    </x:font>
    <x:font>
      <x:sz val="12"/>
      <x:color rgb="FF000000"/>
      <x:name val="游ゴシック"/>
    </x:font>
    <x:font>
      <x:sz val="12"/>
      <x:color rgb="FF000000"/>
      <x:name val="Times New Roman"/>
    </x:font>
    <x:font>
      <x:b/>
      <x:sz val="12"/>
      <x:color rgb="FFFFFFFF"/>
      <x:name val="游ゴシック"/>
    </x:font>
    <x:font>
      <x:sz val="6"/>
      <x:name val="Source Han Sans JP"/>
    </x:font>
    <x:font>
      <x:b/>
      <x:sz val="14"/>
      <x:color rgb="FFFFFFFF"/>
      <x:name val="游ゴシック"/>
    </x:font>
    <x:font>
      <x:i/>
      <x:sz val="12"/>
      <x:color theme="1"/>
      <x:name val="游ゴシック"/>
    </x:font>
    <x:font>
      <x:b/>
      <x:sz val="13"/>
      <x:color rgb="FFFFFFFF"/>
      <x:name val="游ゴシック"/>
    </x:font>
  </x:fonts>
  <x:fills count="7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334155"/>
      </x:patternFill>
    </x:fill>
    <x:fill>
      <x:patternFill patternType="solid">
        <x:fgColor rgb="FF0F766E"/>
      </x:patternFill>
    </x:fill>
    <x:fill>
      <x:patternFill patternType="solid">
        <x:fgColor rgb="FF0F766E"/>
      </x:patternFill>
    </x:fill>
    <x:fill>
      <x:patternFill patternType="solid">
        <x:fgColor rgb="FFE0F2F1"/>
      </x:patternFill>
    </x:fill>
  </x:fills>
  <x:borders count="2">
    <x:border/>
    <x:border/>
  </x:borders>
  <x:cellStyleXfs count="1">
    <x:xf numFmtId="0" fontId="0" fillId="0" borderId="0">
      <x:alignment vertical="center"/>
    </x:xf>
  </x:cellStyleXfs>
  <x:cellXfs count="59">
    <x:xf numFmtId="0" fontId="0" fillId="0" borderId="0" xfId="0">
      <x:alignment vertical="center"/>
    </x:xf>
    <x:xf numFmtId="0" fontId="1" fillId="0" borderId="0" xfId="0" applyFont="1">
      <x:alignment vertical="center"/>
    </x:xf>
    <x:xf numFmtId="49" fontId="0" fillId="0" borderId="0" xfId="0" applyNumberFormat="1">
      <x:alignment vertical="center"/>
    </x:xf>
    <x:xf numFmtId="0" fontId="3" fillId="0" borderId="0" xfId="0" applyFont="1">
      <x:alignment vertical="center"/>
    </x:xf>
    <x:xf numFmtId="176" fontId="0" fillId="0" borderId="0" xfId="0" applyNumberFormat="1">
      <x:alignment vertical="center"/>
    </x:xf>
    <x:xf numFmtId="177" fontId="0" fillId="0" borderId="0" xfId="0" applyNumberFormat="1">
      <x:alignment vertical="center"/>
    </x:xf>
    <x:xf numFmtId="178" fontId="0" fillId="0" borderId="0" xfId="0" applyNumberFormat="1">
      <x:alignment vertical="center"/>
    </x:xf>
    <x:xf numFmtId="176" fontId="2" fillId="0" borderId="0" xfId="0" applyNumberFormat="1" applyFont="1">
      <x:alignment vertical="center"/>
    </x:xf>
    <x:xf numFmtId="1" fontId="0" fillId="0" borderId="0" xfId="0" applyNumberFormat="1">
      <x:alignment vertical="center"/>
    </x:xf>
    <x:xf numFmtId="0" fontId="4" fillId="2" borderId="0" xfId="0" applyFont="1" applyFill="1" applyAlignment="1">
      <x:alignment horizontal="center" vertical="center" wrapText="1"/>
    </x:xf>
    <x:xf numFmtId="0" fontId="4" fillId="3" borderId="0" xfId="0" applyFont="1" applyFill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49" fontId="0" fillId="0" borderId="1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176" fontId="0" fillId="0" borderId="1" xfId="0" applyNumberFormat="1" applyFont="1" applyFill="1" applyBorder="1" applyAlignment="1">
      <x:alignment vertical="center"/>
    </x:xf>
    <x:xf numFmtId="177" fontId="0" fillId="0" borderId="1" xfId="0" applyNumberFormat="1" applyFont="1" applyFill="1" applyBorder="1" applyAlignment="1">
      <x:alignment vertical="center"/>
    </x:xf>
    <x:xf numFmtId="178" fontId="0" fillId="0" borderId="1" xfId="0" applyNumberFormat="1" applyFont="1" applyFill="1" applyBorder="1" applyAlignment="1">
      <x:alignment vertical="center"/>
    </x:xf>
    <x:xf numFmtId="176" fontId="2" fillId="0" borderId="1" xfId="0" applyNumberFormat="1" applyFont="1" applyFill="1" applyBorder="1" applyAlignment="1">
      <x:alignment vertical="center"/>
    </x:xf>
    <x:xf numFmtId="1" fontId="0" fillId="0" borderId="1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49" fontId="0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176" fontId="0" fillId="0" borderId="0" xfId="0" applyNumberFormat="1" applyFont="1" applyFill="1" applyBorder="1" applyAlignment="1">
      <x:alignment vertical="center"/>
    </x:xf>
    <x:xf numFmtId="177" fontId="0" fillId="0" borderId="0" xfId="0" applyNumberFormat="1" applyFont="1" applyFill="1" applyBorder="1" applyAlignment="1">
      <x:alignment vertical="center"/>
    </x:xf>
    <x:xf numFmtId="178" fontId="0" fillId="0" borderId="0" xfId="0" applyNumberFormat="1" applyFont="1" applyFill="1" applyBorder="1" applyAlignment="1">
      <x:alignment vertical="center"/>
    </x:xf>
    <x:xf numFmtId="176" fontId="2" fillId="0" borderId="0" xfId="0" applyNumberFormat="1" applyFont="1" applyFill="1" applyBorder="1" applyAlignment="1">
      <x:alignment vertical="center"/>
    </x:xf>
    <x:xf numFmtId="1" fontId="0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 applyAlignment="1">
      <x:alignment vertical="center"/>
    </x:xf>
    <x:xf numFmtId="0" fontId="7" fillId="6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6" fillId="5" borderId="0" xfId="0" applyNumberFormat="1" applyFont="1" applyFill="1" applyBorder="1" applyAlignment="1">
      <x:alignment horizontal="left"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8" fillId="5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horizontal="center" vertical="center" wrapText="1"/>
    </x:xf>
  </x:cellXfs>
  <x:cellStyles count="1">
    <x:cellStyle name="標準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32043ce2204a99" /><Relationship Type="http://schemas.openxmlformats.org/officeDocument/2006/relationships/theme" Target="/xl/theme/theme1.xml" Id="R90899f2b9a9e4d7e" /><Relationship Type="http://schemas.openxmlformats.org/officeDocument/2006/relationships/sharedStrings" Target="/xl/sharedStrings.xml" Id="Rebae9cec3b8645da" /><Relationship Type="http://schemas.openxmlformats.org/officeDocument/2006/relationships/worksheet" Target="/xl/worksheets/sheet1.xml" Id="R8466eac937854d79" /><Relationship Type="http://schemas.openxmlformats.org/officeDocument/2006/relationships/worksheet" Target="/xl/worksheets/sheet2.xml" Id="R9b1f5a0b5cb84f98" /><Relationship Type="http://schemas.openxmlformats.org/officeDocument/2006/relationships/worksheet" Target="/xl/worksheets/sheet3.xml" Id="Rc53379663fbf46e1" /><Relationship Type="http://schemas.openxmlformats.org/officeDocument/2006/relationships/worksheet" Target="/xl/worksheets/sheet4.xml" Id="R15ad526dca394bc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20"/>
  <x:cols>
    <x:col min="1" max="1" width="12" hidden="0" customWidth="1"/>
    <x:col min="2" max="2" width="12" hidden="0" customWidth="1"/>
    <x:col min="3" max="3" width="12" hidden="0" customWidth="1"/>
    <x:col min="4" max="4" width="10" hidden="0" customWidth="1"/>
    <x:col min="5" max="5" width="12" hidden="0" customWidth="1"/>
    <x:col min="6" max="6" width="10.28515625" customWidth="1"/>
    <x:col min="7" max="7" width="21.7109375" customWidth="1"/>
    <x:col min="8" max="9" width="14.140625" customWidth="1"/>
    <x:col min="10" max="10" width="11.140625" customWidth="1"/>
    <x:col min="11" max="11" width="11" customWidth="1"/>
    <x:col min="12" max="12" width="10.7109375" customWidth="1"/>
    <x:col min="13" max="13" width="20" hidden="0" customWidth="1"/>
    <x:col min="14" max="14" width="28.5703125" customWidth="1"/>
    <x:col min="15" max="15" width="18" hidden="0" customWidth="1"/>
    <x:col min="16" max="16" width="22.140625" customWidth="1"/>
    <x:col min="17" max="17" width="18" hidden="0" customWidth="1"/>
    <x:col min="18" max="18" width="23.7109375" customWidth="1"/>
    <x:col min="19" max="19" width="20.42578125" customWidth="1"/>
    <x:col min="20" max="20" width="52" hidden="0" customWidth="1"/>
    <x:col min="21" max="21" width="7.5703125" customWidth="1"/>
    <x:col min="22" max="22" width="7" customWidth="1"/>
    <x:col min="23" max="23" width="9.7109375" customWidth="1"/>
    <x:col min="24" max="24" width="9.28515625" customWidth="1"/>
    <x:col min="25" max="25" width="9.5703125" customWidth="1"/>
    <x:col min="26" max="26" width="9.140625" customWidth="1"/>
    <x:col min="27" max="27" width="20.7109375" customWidth="1"/>
    <x:col min="28" max="28" width="24.5703125" customWidth="1"/>
    <x:col min="29" max="29" width="28.140625" customWidth="1"/>
    <x:col min="30" max="30" width="20.28515625" customWidth="1"/>
    <x:col min="31" max="31" width="20" hidden="0" customWidth="1"/>
    <x:col min="32" max="32" width="18" hidden="0" customWidth="1"/>
    <x:col min="33" max="33" width="18" hidden="0" customWidth="1"/>
    <x:col min="34" max="34" width="18" hidden="0" customWidth="1"/>
    <x:col min="35" max="35" width="52" hidden="0" customWidth="1"/>
    <x:col min="36" max="36" width="60" hidden="0" customWidth="1"/>
  </x:cols>
  <x:sheetData>
    <x:row r="1" ht="42">
      <x:c r="A1" s="58" t="s">
        <x:v>0</x:v>
      </x:c>
      <x:c r="B1" s="58" t="s">
        <x:v>1</x:v>
      </x:c>
      <x:c r="C1" s="58" t="s">
        <x:v>2</x:v>
      </x:c>
      <x:c r="D1" s="58" t="s">
        <x:v>3</x:v>
      </x:c>
      <x:c r="E1" s="58" t="s">
        <x:v>4</x:v>
      </x:c>
      <x:c r="F1" s="58" t="s">
        <x:v>5</x:v>
      </x:c>
      <x:c r="G1" s="58" t="s">
        <x:v>6</x:v>
      </x:c>
      <x:c r="H1" s="58" t="s">
        <x:v>7</x:v>
      </x:c>
      <x:c r="I1" s="58" t="s">
        <x:v>8</x:v>
      </x:c>
      <x:c r="J1" s="58" t="s">
        <x:v>9</x:v>
      </x:c>
      <x:c r="K1" s="58" t="s">
        <x:v>10</x:v>
      </x:c>
      <x:c r="L1" s="58" t="s">
        <x:v>11</x:v>
      </x:c>
      <x:c r="M1" s="58" t="s">
        <x:v>12</x:v>
      </x:c>
      <x:c r="N1" s="58" t="s">
        <x:v>13</x:v>
      </x:c>
      <x:c r="O1" s="58" t="s">
        <x:v>14</x:v>
      </x:c>
      <x:c r="P1" s="58" t="s">
        <x:v>15</x:v>
      </x:c>
      <x:c r="Q1" s="58" t="s">
        <x:v>16</x:v>
      </x:c>
      <x:c r="R1" s="58" t="s">
        <x:v>17</x:v>
      </x:c>
      <x:c r="S1" s="58" t="s">
        <x:v>18</x:v>
      </x:c>
      <x:c r="T1" s="58" t="s">
        <x:v>19</x:v>
      </x:c>
      <x:c r="U1" s="58" t="str">
        <x:v>uf_reconstructed_m_s</x:v>
      </x:c>
      <x:c r="V1" s="58" t="str">
        <x:v>tf_reconstructed_min</x:v>
      </x:c>
      <x:c r="W1" s="58" t="s">
        <x:v>20</x:v>
      </x:c>
      <x:c r="X1" s="58" t="s">
        <x:v>21</x:v>
      </x:c>
      <x:c r="Y1" s="58" t="s">
        <x:v>22</x:v>
      </x:c>
      <x:c r="Z1" s="58" t="s">
        <x:v>23</x:v>
      </x:c>
      <x:c r="AA1" s="58" t="s">
        <x:v>24</x:v>
      </x:c>
      <x:c r="AB1" s="58" t="s">
        <x:v>25</x:v>
      </x:c>
      <x:c r="AC1" s="58" t="s">
        <x:v>26</x:v>
      </x:c>
      <x:c r="AD1" s="58" t="s">
        <x:v>27</x:v>
      </x:c>
      <x:c r="AE1" s="58" t="s">
        <x:v>28</x:v>
      </x:c>
      <x:c r="AF1" s="58" t="s">
        <x:v>29</x:v>
      </x:c>
      <x:c r="AG1" s="58" t="s">
        <x:v>30</x:v>
      </x:c>
      <x:c r="AH1" s="58" t="s">
        <x:v>31</x:v>
      </x:c>
      <x:c r="AI1" s="58" t="s">
        <x:v>32</x:v>
      </x:c>
      <x:c r="AJ1" s="58" t="s">
        <x:v>33</x:v>
      </x:c>
    </x:row>
    <x:row r="2">
      <x:c r="A2" s="1" t="s">
        <x:v>34</x:v>
      </x:c>
      <x:c r="B2" t="s">
        <x:v>35</x:v>
      </x:c>
      <x:c r="C2" s="22" t="str">
        <x:v>2012-09</x:v>
      </x:c>
      <x:c r="D2">
        <x:v>2012</x:v>
      </x:c>
      <x:c r="E2" s="1" t="s">
        <x:v>36</x:v>
      </x:c>
      <x:c r="F2">
        <x:v>1</x:v>
      </x:c>
      <x:c r="G2" t="s">
        <x:v>37</x:v>
      </x:c>
      <x:c r="H2" t="s">
        <x:v>38</x:v>
      </x:c>
      <x:c r="I2">
        <x:v>25</x:v>
      </x:c>
      <x:c r="J2" t="s">
        <x:v>39</x:v>
      </x:c>
      <x:c r="K2" s="1">
        <x:v>53.4</x:v>
      </x:c>
      <x:c r="L2" s="1">
        <x:v>198</x:v>
      </x:c>
      <x:c r="M2" t="str">
        <x:v>FW25</x:v>
      </x:c>
      <x:c r="N2" t="s">
        <x:v>40</x:v>
      </x:c>
      <x:c r="O2" t="s">
        <x:v>41</x:v>
      </x:c>
      <x:c r="P2" t="s">
        <x:v>41</x:v>
      </x:c>
      <x:c r="Q2" t="s">
        <x:v>37</x:v>
      </x:c>
      <x:c r="R2">
        <x:v>3</x:v>
      </x:c>
      <x:c r="S2">
        <x:v>3</x:v>
      </x:c>
      <x:c r="T2" s="29" t="str">
        <x:v>Fasted during the final 3 days before the FW25 trial.</x:v>
      </x:c>
      <x:c r="U2" s="4">
        <x:v>0.5</x:v>
      </x:c>
      <x:c r="V2" s="5">
        <x:v>12</x:v>
      </x:c>
      <x:c r="W2" s="6">
        <x:v>0.51</x:v>
      </x:c>
      <x:c r="X2" s="4">
        <x:v>0.95505600000000002</x:v>
      </x:c>
      <x:c r="Y2" s="7">
        <x:v>0.5</x:v>
      </x:c>
      <x:c r="Z2" s="4">
        <x:v>0.93633</x:v>
      </x:c>
      <x:c r="AA2" s="4">
        <x:v>45.906832426832445</x:v>
      </x:c>
      <x:c r="AB2" s="4">
        <x:v>82.632298368298407</x:v>
      </x:c>
      <x:c r="AC2" s="4">
        <x:v>64.273064393939123</x:v>
      </x:c>
      <x:c r="AD2" s="8">
        <x:v>2</x:v>
      </x:c>
      <x:c r="AE2" t="s">
        <x:v>42</x:v>
      </x:c>
      <x:c r="AF2" t="s">
        <x:v>43</x:v>
      </x:c>
      <x:c r="AG2" t="s">
        <x:v>44</x:v>
      </x:c>
      <x:c r="AH2" t="s">
        <x:v>43</x:v>
      </x:c>
      <x:c r="AJ2" s="29" t="s">
        <x:v>45</x:v>
      </x:c>
    </x:row>
    <x:row r="3">
      <x:c r="A3" s="1" t="s">
        <x:v>46</x:v>
      </x:c>
      <x:c r="B3" t="s">
        <x:v>47</x:v>
      </x:c>
      <x:c r="C3" s="22" t="str">
        <x:v>2012-09</x:v>
      </x:c>
      <x:c r="D3">
        <x:v>2012</x:v>
      </x:c>
      <x:c r="E3" s="1" t="s">
        <x:v>36</x:v>
      </x:c>
      <x:c r="F3">
        <x:v>1</x:v>
      </x:c>
      <x:c r="G3" t="s">
        <x:v>37</x:v>
      </x:c>
      <x:c r="H3" t="s">
        <x:v>38</x:v>
      </x:c>
      <x:c r="I3">
        <x:v>25</x:v>
      </x:c>
      <x:c r="J3" t="s">
        <x:v>39</x:v>
      </x:c>
      <x:c r="K3" s="1">
        <x:v>58.9</x:v>
      </x:c>
      <x:c r="L3" s="1">
        <x:v>300</x:v>
      </x:c>
      <x:c r="M3" t="str">
        <x:v>FW25</x:v>
      </x:c>
      <x:c r="N3" t="s">
        <x:v>40</x:v>
      </x:c>
      <x:c r="O3" t="s">
        <x:v>41</x:v>
      </x:c>
      <x:c r="P3" t="s">
        <x:v>41</x:v>
      </x:c>
      <x:c r="Q3" t="s">
        <x:v>37</x:v>
      </x:c>
      <x:c r="R3">
        <x:v>3</x:v>
      </x:c>
      <x:c r="S3">
        <x:v>3</x:v>
      </x:c>
      <x:c r="T3" s="29" t="str">
        <x:v>Fasted during the final 3 days before the FW25 trial.</x:v>
      </x:c>
      <x:c r="U3" s="4">
        <x:v>0.5</x:v>
      </x:c>
      <x:c r="V3" s="5" t="n">
        <x:f t="shared" ref="V3:V11" si="0">(120*(W3-U3)/0.1)</x:f>
        <x:v>12.00000000000001</x:v>
      </x:c>
      <x:c r="W3" s="6">
        <x:v>0.51</x:v>
      </x:c>
      <x:c r="X3" s="4">
        <x:v>0.86587400000000003</x:v>
      </x:c>
      <x:c r="Y3" s="7">
        <x:v>0.5</x:v>
      </x:c>
      <x:c r="Z3" s="4">
        <x:v>0.84889599999999998</x:v>
      </x:c>
      <x:c r="AA3" s="4">
        <x:v>48.554841569125642</x:v>
      </x:c>
      <x:c r="AB3" s="4">
        <x:v>87.398714824426165</x:v>
      </x:c>
      <x:c r="AC3" s="4">
        <x:v>69.57413582990155</x:v>
      </x:c>
      <x:c r="AD3" s="8">
        <x:v>2</x:v>
      </x:c>
      <x:c r="AE3" t="s">
        <x:v>42</x:v>
      </x:c>
      <x:c r="AF3" t="s">
        <x:v>43</x:v>
      </x:c>
      <x:c r="AG3" t="s">
        <x:v>44</x:v>
      </x:c>
      <x:c r="AH3" t="s">
        <x:v>43</x:v>
      </x:c>
      <x:c r="AJ3" s="29" t="s">
        <x:v>48</x:v>
      </x:c>
    </x:row>
    <x:row r="4">
      <x:c r="A4" s="1" t="s">
        <x:v>49</x:v>
      </x:c>
      <x:c r="B4" t="s">
        <x:v>50</x:v>
      </x:c>
      <x:c r="C4" s="22" t="str">
        <x:v>2012-09</x:v>
      </x:c>
      <x:c r="D4">
        <x:v>2012</x:v>
      </x:c>
      <x:c r="E4" s="1" t="s">
        <x:v>36</x:v>
      </x:c>
      <x:c r="F4">
        <x:v>1</x:v>
      </x:c>
      <x:c r="G4" t="s">
        <x:v>37</x:v>
      </x:c>
      <x:c r="H4" t="s">
        <x:v>38</x:v>
      </x:c>
      <x:c r="I4">
        <x:v>25</x:v>
      </x:c>
      <x:c r="J4" t="s">
        <x:v>39</x:v>
      </x:c>
      <x:c r="K4" s="1">
        <x:v>53.5</x:v>
      </x:c>
      <x:c r="L4" s="1">
        <x:v>183</x:v>
      </x:c>
      <x:c r="M4" t="str">
        <x:v>FW25</x:v>
      </x:c>
      <x:c r="N4" t="s">
        <x:v>40</x:v>
      </x:c>
      <x:c r="O4" t="s">
        <x:v>41</x:v>
      </x:c>
      <x:c r="P4" t="s">
        <x:v>41</x:v>
      </x:c>
      <x:c r="Q4" t="s">
        <x:v>37</x:v>
      </x:c>
      <x:c r="R4">
        <x:v>3</x:v>
      </x:c>
      <x:c r="S4">
        <x:v>3</x:v>
      </x:c>
      <x:c r="T4" s="29" t="str">
        <x:v>Fasted during the final 3 days before the FW25 trial.</x:v>
      </x:c>
      <x:c r="U4" s="4">
        <x:v>0.5</x:v>
      </x:c>
      <x:c r="V4" s="5">
        <x:f t="shared" si="0"/>
        <x:v>12.000000000000011</x:v>
      </x:c>
      <x:c r="W4" s="6">
        <x:v>0.51</x:v>
      </x:c>
      <x:c r="X4" s="4">
        <x:v>0.95327099999999998</x:v>
      </x:c>
      <x:c r="Y4" s="7">
        <x:v>0.4</x:v>
      </x:c>
      <x:c r="Z4" s="4">
        <x:v>0.747664</x:v>
      </x:c>
      <x:c r="AA4" s="4">
        <x:v>53.521699746666656</x:v>
      </x:c>
      <x:c r="AB4" s="4">
        <x:v>77.071247635199995</x:v>
      </x:c>
      <x:c r="AC4" s="4">
        <x:v>81.450249189601081</x:v>
      </x:c>
      <x:c r="AD4" s="8">
        <x:v>2</x:v>
      </x:c>
      <x:c r="AE4" t="s">
        <x:v>51</x:v>
      </x:c>
      <x:c r="AF4" t="s">
        <x:v>43</x:v>
      </x:c>
      <x:c r="AG4" t="s">
        <x:v>44</x:v>
      </x:c>
      <x:c r="AH4" t="s">
        <x:v>43</x:v>
      </x:c>
      <x:c r="AJ4" s="29" t="s">
        <x:v>52</x:v>
      </x:c>
    </x:row>
    <x:row r="5">
      <x:c r="A5" s="1" t="s">
        <x:v>53</x:v>
      </x:c>
      <x:c r="B5" t="s">
        <x:v>54</x:v>
      </x:c>
      <x:c r="C5" s="22" t="str">
        <x:v>2012-09</x:v>
      </x:c>
      <x:c r="D5">
        <x:v>2012</x:v>
      </x:c>
      <x:c r="E5" s="1" t="s">
        <x:v>36</x:v>
      </x:c>
      <x:c r="F5">
        <x:v>1</x:v>
      </x:c>
      <x:c r="G5" t="s">
        <x:v>37</x:v>
      </x:c>
      <x:c r="H5" t="s">
        <x:v>38</x:v>
      </x:c>
      <x:c r="I5">
        <x:v>25</x:v>
      </x:c>
      <x:c r="J5" t="s">
        <x:v>39</x:v>
      </x:c>
      <x:c r="K5" s="1">
        <x:v>56.3</x:v>
      </x:c>
      <x:c r="L5" s="1">
        <x:v>211</x:v>
      </x:c>
      <x:c r="M5" t="str">
        <x:v>FW25</x:v>
      </x:c>
      <x:c r="N5" t="s">
        <x:v>40</x:v>
      </x:c>
      <x:c r="O5" t="s">
        <x:v>41</x:v>
      </x:c>
      <x:c r="P5" t="s">
        <x:v>41</x:v>
      </x:c>
      <x:c r="Q5" t="s">
        <x:v>37</x:v>
      </x:c>
      <x:c r="R5">
        <x:v>3</x:v>
      </x:c>
      <x:c r="S5">
        <x:v>3</x:v>
      </x:c>
      <x:c r="T5" s="29" t="str">
        <x:v>Fasted during the final 3 days before the FW25 trial.</x:v>
      </x:c>
      <x:c r="U5" s="4">
        <x:v>0.4</x:v>
      </x:c>
      <x:c r="V5" s="5">
        <x:f t="shared" si="0"/>
        <x:v>0</x:v>
      </x:c>
      <x:c r="W5" s="6">
        <x:v>0.4</x:v>
      </x:c>
      <x:c r="X5" s="4">
        <x:v>0.71048</x:v>
      </x:c>
      <x:c r="Y5" s="7">
        <x:v>0.4</x:v>
      </x:c>
      <x:c r="Z5" s="4">
        <x:v>0.71048</x:v>
      </x:c>
      <x:c r="AA5" s="4">
        <x:v>65.935796800947699</x:v>
      </x:c>
      <x:c r="AB5" s="4">
        <x:v>94.947547393364701</x:v>
      </x:c>
      <x:c r="AC5" s="4">
        <x:v>52.877292654028068</x:v>
      </x:c>
      <x:c r="AD5" s="8">
        <x:v>1</x:v>
      </x:c>
      <x:c r="AE5" t="s">
        <x:v>55</x:v>
      </x:c>
      <x:c r="AF5" t="s">
        <x:v>56</x:v>
      </x:c>
      <x:c r="AG5" t="s">
        <x:v>55</x:v>
      </x:c>
      <x:c r="AH5" t="s">
        <x:v>43</x:v>
      </x:c>
      <x:c r="AJ5" s="29" t="s">
        <x:v>57</x:v>
      </x:c>
    </x:row>
    <x:row r="6">
      <x:c r="A6" s="1" t="s">
        <x:v>58</x:v>
      </x:c>
      <x:c r="B6" t="s">
        <x:v>59</x:v>
      </x:c>
      <x:c r="C6" s="22" t="str">
        <x:v>2012-09</x:v>
      </x:c>
      <x:c r="D6">
        <x:v>2012</x:v>
      </x:c>
      <x:c r="E6" s="1" t="s">
        <x:v>36</x:v>
      </x:c>
      <x:c r="F6">
        <x:v>1</x:v>
      </x:c>
      <x:c r="G6" t="s">
        <x:v>37</x:v>
      </x:c>
      <x:c r="H6" t="s">
        <x:v>38</x:v>
      </x:c>
      <x:c r="I6">
        <x:v>25</x:v>
      </x:c>
      <x:c r="J6" t="s">
        <x:v>39</x:v>
      </x:c>
      <x:c r="K6" s="1">
        <x:v>56.8</x:v>
      </x:c>
      <x:c r="L6" s="1">
        <x:v>204</x:v>
      </x:c>
      <x:c r="M6" t="str">
        <x:v>FW25</x:v>
      </x:c>
      <x:c r="N6" t="s">
        <x:v>40</x:v>
      </x:c>
      <x:c r="O6" t="s">
        <x:v>41</x:v>
      </x:c>
      <x:c r="P6" t="s">
        <x:v>41</x:v>
      </x:c>
      <x:c r="Q6" t="s">
        <x:v>37</x:v>
      </x:c>
      <x:c r="R6">
        <x:v>3</x:v>
      </x:c>
      <x:c r="S6">
        <x:v>3</x:v>
      </x:c>
      <x:c r="T6" s="29" t="str">
        <x:v>Fasted during the final 3 days before the FW25 trial.</x:v>
      </x:c>
      <x:c r="U6" s="4">
        <x:v>0.6</x:v>
      </x:c>
      <x:c r="V6" s="5">
        <x:f t="shared" si="0"/>
        <x:v>12.000000000000011</x:v>
      </x:c>
      <x:c r="W6" s="6">
        <x:v>0.61</x:v>
      </x:c>
      <x:c r="X6" s="4">
        <x:v>1.073944</x:v>
      </x:c>
      <x:c r="Y6" s="7">
        <x:v>0.6</x:v>
      </x:c>
      <x:c r="Z6" s="4">
        <x:v>1.056338</x:v>
      </x:c>
      <x:c r="AA6" s="4">
        <x:v>43.617340686274503</x:v>
      </x:c>
      <x:c r="AB6" s="4">
        <x:v>94.213455882352932</x:v>
      </x:c>
      <x:c r="AC6" s="4">
        <x:v>51.897242647058725</x:v>
      </x:c>
      <x:c r="AD6" s="8">
        <x:v>3</x:v>
      </x:c>
      <x:c r="AE6" t="s">
        <x:v>42</x:v>
      </x:c>
      <x:c r="AF6" t="s">
        <x:v>43</x:v>
      </x:c>
      <x:c r="AG6" t="s">
        <x:v>44</x:v>
      </x:c>
      <x:c r="AH6" t="s">
        <x:v>43</x:v>
      </x:c>
      <x:c r="AJ6" s="29" t="s">
        <x:v>60</x:v>
      </x:c>
    </x:row>
    <x:row r="7">
      <x:c r="A7" s="1" t="s">
        <x:v>61</x:v>
      </x:c>
      <x:c r="B7" t="s">
        <x:v>62</x:v>
      </x:c>
      <x:c r="C7" s="22" t="str">
        <x:v>2012-09</x:v>
      </x:c>
      <x:c r="D7">
        <x:v>2012</x:v>
      </x:c>
      <x:c r="E7" s="1" t="s">
        <x:v>63</x:v>
      </x:c>
      <x:c r="F7">
        <x:v>1</x:v>
      </x:c>
      <x:c r="G7" t="s">
        <x:v>37</x:v>
      </x:c>
      <x:c r="H7" t="s">
        <x:v>38</x:v>
      </x:c>
      <x:c r="I7">
        <x:v>25</x:v>
      </x:c>
      <x:c r="J7" t="s">
        <x:v>39</x:v>
      </x:c>
      <x:c r="K7" s="1">
        <x:v>62.7</x:v>
      </x:c>
      <x:c r="L7" s="1">
        <x:v>347</x:v>
      </x:c>
      <x:c r="M7" t="str">
        <x:v>FW25</x:v>
      </x:c>
      <x:c r="N7" t="s">
        <x:v>40</x:v>
      </x:c>
      <x:c r="O7" t="s">
        <x:v>41</x:v>
      </x:c>
      <x:c r="P7" t="s">
        <x:v>41</x:v>
      </x:c>
      <x:c r="Q7" t="s">
        <x:v>37</x:v>
      </x:c>
      <x:c r="R7">
        <x:v>3</x:v>
      </x:c>
      <x:c r="S7">
        <x:v>3</x:v>
      </x:c>
      <x:c r="T7" s="29" t="str">
        <x:v>Fasted during the final 3 days before the FW25 trial.</x:v>
      </x:c>
      <x:c r="U7" s="4">
        <x:v>0.4</x:v>
      </x:c>
      <x:c r="V7" s="5">
        <x:f t="shared" si="0"/>
        <x:v>116.99999999999997</x:v>
      </x:c>
      <x:c r="W7" s="6">
        <x:v>0.4975</x:v>
      </x:c>
      <x:c r="X7" s="4">
        <x:v>0.79346099999999997</x:v>
      </x:c>
      <x:c r="Y7" s="7">
        <x:v>0.5</x:v>
      </x:c>
      <x:c r="Z7" s="4">
        <x:v>0.79744800000000005</x:v>
      </x:c>
      <x:c r="AA7" s="4">
        <x:v>59.696475282642417</x:v>
      </x:c>
      <x:c r="AB7" s="4">
        <x:v>107.45365550875636</x:v>
      </x:c>
      <x:c r="AC7" s="4">
        <x:v>50.459167867435305</x:v>
      </x:c>
      <x:c r="AD7" s="8">
        <x:v>2</x:v>
      </x:c>
      <x:c r="AE7" t="s">
        <x:v>42</x:v>
      </x:c>
      <x:c r="AF7" t="s">
        <x:v>43</x:v>
      </x:c>
      <x:c r="AG7" t="s">
        <x:v>44</x:v>
      </x:c>
      <x:c r="AH7" t="s">
        <x:v>43</x:v>
      </x:c>
      <x:c r="AJ7" s="29" t="s">
        <x:v>64</x:v>
      </x:c>
    </x:row>
    <x:row r="8">
      <x:c r="A8" s="1" t="s">
        <x:v>65</x:v>
      </x:c>
      <x:c r="B8" t="s">
        <x:v>66</x:v>
      </x:c>
      <x:c r="C8" s="22" t="str">
        <x:v>2012-09</x:v>
      </x:c>
      <x:c r="D8">
        <x:v>2012</x:v>
      </x:c>
      <x:c r="E8" s="1" t="s">
        <x:v>63</x:v>
      </x:c>
      <x:c r="F8">
        <x:v>1</x:v>
      </x:c>
      <x:c r="G8" t="s">
        <x:v>37</x:v>
      </x:c>
      <x:c r="H8" t="s">
        <x:v>38</x:v>
      </x:c>
      <x:c r="I8">
        <x:v>25</x:v>
      </x:c>
      <x:c r="J8" t="s">
        <x:v>39</x:v>
      </x:c>
      <x:c r="K8" s="1">
        <x:v>70.3</x:v>
      </x:c>
      <x:c r="L8" s="1">
        <x:v>570</x:v>
      </x:c>
      <x:c r="M8" t="str">
        <x:v>FW25</x:v>
      </x:c>
      <x:c r="N8" t="s">
        <x:v>40</x:v>
      </x:c>
      <x:c r="O8" t="s">
        <x:v>41</x:v>
      </x:c>
      <x:c r="P8" t="s">
        <x:v>41</x:v>
      </x:c>
      <x:c r="Q8" t="s">
        <x:v>37</x:v>
      </x:c>
      <x:c r="R8">
        <x:v>3</x:v>
      </x:c>
      <x:c r="S8">
        <x:v>3</x:v>
      </x:c>
      <x:c r="T8" s="29" t="str">
        <x:v>Fasted during the final 3 days before the FW25 trial.</x:v>
      </x:c>
      <x:c r="U8" s="4">
        <x:v>1.4</x:v>
      </x:c>
      <x:c r="V8" s="5">
        <x:f t="shared" si="0"/>
        <x:v>6.0000000000001386</x:v>
      </x:c>
      <x:c r="W8" s="6">
        <x:v>1.405</x:v>
      </x:c>
      <x:c r="X8" s="4">
        <x:v>1.998578</x:v>
      </x:c>
      <x:c r="Y8" s="7">
        <x:v>0.8</x:v>
      </x:c>
      <x:c r="Z8" s="4">
        <x:v>1.13798</x:v>
      </x:c>
      <x:c r="AA8" s="4">
        <x:v>35.354135599415251</x:v>
      </x:c>
      <x:c r="AB8" s="4">
        <x:v>101.81991052631594</x:v>
      </x:c>
      <x:c r="AC8" s="4">
        <x:v>43.230800000000094</x:v>
      </x:c>
      <x:c r="AD8" s="8">
        <x:v>10</x:v>
      </x:c>
      <x:c r="AE8" t="s">
        <x:v>67</x:v>
      </x:c>
      <x:c r="AF8" t="s">
        <x:v>43</x:v>
      </x:c>
      <x:c r="AG8" t="s">
        <x:v>43</x:v>
      </x:c>
      <x:c r="AH8" t="s">
        <x:v>43</x:v>
      </x:c>
      <x:c r="AJ8" s="29"/>
    </x:row>
    <x:row r="9">
      <x:c r="A9" s="1" t="s">
        <x:v>68</x:v>
      </x:c>
      <x:c r="B9" t="s">
        <x:v>69</x:v>
      </x:c>
      <x:c r="C9" s="22" t="str">
        <x:v>2012-09</x:v>
      </x:c>
      <x:c r="D9">
        <x:v>2012</x:v>
      </x:c>
      <x:c r="E9" s="1" t="s">
        <x:v>63</x:v>
      </x:c>
      <x:c r="F9">
        <x:v>1</x:v>
      </x:c>
      <x:c r="G9" t="s">
        <x:v>37</x:v>
      </x:c>
      <x:c r="H9" t="s">
        <x:v>38</x:v>
      </x:c>
      <x:c r="I9">
        <x:v>25</x:v>
      </x:c>
      <x:c r="J9" t="s">
        <x:v>39</x:v>
      </x:c>
      <x:c r="K9" s="1">
        <x:v>66.8</x:v>
      </x:c>
      <x:c r="L9" s="1">
        <x:v>310</x:v>
      </x:c>
      <x:c r="M9" t="str">
        <x:v>FW25</x:v>
      </x:c>
      <x:c r="N9" t="s">
        <x:v>40</x:v>
      </x:c>
      <x:c r="O9" t="s">
        <x:v>41</x:v>
      </x:c>
      <x:c r="P9" t="s">
        <x:v>41</x:v>
      </x:c>
      <x:c r="Q9" t="s">
        <x:v>37</x:v>
      </x:c>
      <x:c r="R9">
        <x:v>3</x:v>
      </x:c>
      <x:c r="S9">
        <x:v>3</x:v>
      </x:c>
      <x:c r="T9" s="29" t="str">
        <x:v>Fasted during the final 3 days before the FW25 trial.</x:v>
      </x:c>
      <x:c r="U9" s="4">
        <x:v>0.6</x:v>
      </x:c>
      <x:c r="V9" s="5">
        <x:f t="shared" si="0"/>
        <x:v>48.000000000000043</x:v>
      </x:c>
      <x:c r="W9" s="6">
        <x:v>0.64</x:v>
      </x:c>
      <x:c r="X9" s="4">
        <x:v>0.95808400000000005</x:v>
      </x:c>
      <x:c r="Y9" s="7">
        <x:v>0.4</x:v>
      </x:c>
      <x:c r="Z9" s="4">
        <x:v>0.59880199999999995</x:v>
      </x:c>
      <x:c r="AA9" s="4">
        <x:v>48.533962146774158</x:v>
      </x:c>
      <x:c r="AB9" s="4">
        <x:v>69.888905491354791</x:v>
      </x:c>
      <x:c r="AC9" s="4">
        <x:v>62.066655736490375</x:v>
      </x:c>
      <x:c r="AD9" s="8">
        <x:v>3</x:v>
      </x:c>
      <x:c r="AE9" t="s">
        <x:v>51</x:v>
      </x:c>
      <x:c r="AF9" t="s">
        <x:v>43</x:v>
      </x:c>
      <x:c r="AG9" t="s">
        <x:v>44</x:v>
      </x:c>
      <x:c r="AH9" t="s">
        <x:v>43</x:v>
      </x:c>
      <x:c r="AJ9" s="29" t="s">
        <x:v>70</x:v>
      </x:c>
    </x:row>
    <x:row r="10">
      <x:c r="A10" s="1" t="s">
        <x:v>71</x:v>
      </x:c>
      <x:c r="B10" t="s">
        <x:v>72</x:v>
      </x:c>
      <x:c r="C10" s="22" t="str">
        <x:v>2012-09</x:v>
      </x:c>
      <x:c r="D10">
        <x:v>2012</x:v>
      </x:c>
      <x:c r="E10" s="1" t="s">
        <x:v>63</x:v>
      </x:c>
      <x:c r="F10">
        <x:v>1</x:v>
      </x:c>
      <x:c r="G10" t="s">
        <x:v>37</x:v>
      </x:c>
      <x:c r="H10" t="s">
        <x:v>38</x:v>
      </x:c>
      <x:c r="I10">
        <x:v>25</x:v>
      </x:c>
      <x:c r="J10" t="s">
        <x:v>39</x:v>
      </x:c>
      <x:c r="K10" s="1">
        <x:v>65.3</x:v>
      </x:c>
      <x:c r="L10" s="1">
        <x:v>440</x:v>
      </x:c>
      <x:c r="M10" t="str">
        <x:v>FW25</x:v>
      </x:c>
      <x:c r="N10" t="s">
        <x:v>40</x:v>
      </x:c>
      <x:c r="O10" t="s">
        <x:v>41</x:v>
      </x:c>
      <x:c r="P10" t="s">
        <x:v>41</x:v>
      </x:c>
      <x:c r="Q10" t="s">
        <x:v>37</x:v>
      </x:c>
      <x:c r="R10">
        <x:v>3</x:v>
      </x:c>
      <x:c r="S10">
        <x:v>3</x:v>
      </x:c>
      <x:c r="T10" s="29" t="str">
        <x:v>Fasted during the final 3 days before the FW25 trial.</x:v>
      </x:c>
      <x:c r="U10" s="4">
        <x:v>0.7</x:v>
      </x:c>
      <x:c r="V10" s="5">
        <x:f t="shared" si="0"/>
        <x:v>30.000000000000025</x:v>
      </x:c>
      <x:c r="W10" s="6">
        <x:v>0.72499999999999998</x:v>
      </x:c>
      <x:c r="X10" s="4">
        <x:v>1.11026</x:v>
      </x:c>
      <x:c r="Y10" s="7"/>
      <x:c r="Z10" s="4"/>
      <x:c r="AA10" s="4"/>
      <x:c r="AB10" s="4"/>
      <x:c r="AC10" s="4"/>
      <x:c r="AD10" s="8">
        <x:v>0</x:v>
      </x:c>
      <x:c r="AE10" t="s">
        <x:v>73</x:v>
      </x:c>
      <x:c r="AF10" t="s">
        <x:v>43</x:v>
      </x:c>
      <x:c r="AG10" t="s">
        <x:v>73</x:v>
      </x:c>
      <x:c r="AH10" t="s">
        <x:v>73</x:v>
      </x:c>
      <x:c r="AI10" t="s">
        <x:v>74</x:v>
      </x:c>
      <x:c r="AJ10" s="29" t="s">
        <x:v>75</x:v>
      </x:c>
    </x:row>
    <x:row r="11">
      <x:c r="A11" s="1" t="s">
        <x:v>76</x:v>
      </x:c>
      <x:c r="B11" t="s">
        <x:v>77</x:v>
      </x:c>
      <x:c r="C11" s="22" t="str">
        <x:v>2012-09</x:v>
      </x:c>
      <x:c r="D11">
        <x:v>2012</x:v>
      </x:c>
      <x:c r="E11" s="1" t="s">
        <x:v>63</x:v>
      </x:c>
      <x:c r="F11">
        <x:v>1</x:v>
      </x:c>
      <x:c r="G11" t="s">
        <x:v>37</x:v>
      </x:c>
      <x:c r="H11" t="s">
        <x:v>38</x:v>
      </x:c>
      <x:c r="I11">
        <x:v>25</x:v>
      </x:c>
      <x:c r="J11" t="s">
        <x:v>39</x:v>
      </x:c>
      <x:c r="K11" s="1">
        <x:v>69.3</x:v>
      </x:c>
      <x:c r="L11" s="1">
        <x:v>414</x:v>
      </x:c>
      <x:c r="M11" t="str">
        <x:v>FW25</x:v>
      </x:c>
      <x:c r="N11" t="s">
        <x:v>40</x:v>
      </x:c>
      <x:c r="O11" t="s">
        <x:v>41</x:v>
      </x:c>
      <x:c r="P11" t="s">
        <x:v>41</x:v>
      </x:c>
      <x:c r="Q11" t="s">
        <x:v>37</x:v>
      </x:c>
      <x:c r="R11">
        <x:v>3</x:v>
      </x:c>
      <x:c r="S11">
        <x:v>3</x:v>
      </x:c>
      <x:c r="T11" s="29" t="str">
        <x:v>Fasted during the final 3 days before the FW25 trial.</x:v>
      </x:c>
      <x:c r="U11" s="4">
        <x:v>1</x:v>
      </x:c>
      <x:c r="V11" s="5">
        <x:f t="shared" si="0"/>
        <x:v>65.999999999999915</x:v>
      </x:c>
      <x:c r="W11" s="6">
        <x:v>1.0549999999999999</x:v>
      </x:c>
      <x:c r="X11" s="4">
        <x:v>1.522367</x:v>
      </x:c>
      <x:c r="Y11" s="7">
        <x:v>0.7</x:v>
      </x:c>
      <x:c r="Z11" s="4">
        <x:v>1.0101009999999999</x:v>
      </x:c>
      <x:c r="AA11" s="4">
        <x:v>31.224120082815741</x:v>
      </x:c>
      <x:c r="AB11" s="4">
        <x:v>78.68478260869567</x:v>
      </x:c>
      <x:c r="AC11" s="4">
        <x:v>44.653614130434711</x:v>
      </x:c>
      <x:c r="AD11" s="8">
        <x:v>7</x:v>
      </x:c>
      <x:c r="AE11" t="s">
        <x:v>67</x:v>
      </x:c>
      <x:c r="AF11" t="s">
        <x:v>43</x:v>
      </x:c>
      <x:c r="AG11" t="s">
        <x:v>43</x:v>
      </x:c>
      <x:c r="AH11" t="s">
        <x:v>43</x:v>
      </x:c>
      <x:c r="AJ11" s="29"/>
    </x:row>
    <x:row r="12">
      <x:c r="A12" s="1" t="s">
        <x:v>34</x:v>
      </x:c>
      <x:c r="B12" t="s">
        <x:v>78</x:v>
      </x:c>
      <x:c r="C12" s="22" t="str">
        <x:v>2012-10</x:v>
      </x:c>
      <x:c r="D12">
        <x:v>2012</x:v>
      </x:c>
      <x:c r="E12" s="1" t="s">
        <x:v>36</x:v>
      </x:c>
      <x:c r="F12">
        <x:v>2</x:v>
      </x:c>
      <x:c r="G12" t="s">
        <x:v>79</x:v>
      </x:c>
      <x:c r="H12" t="s">
        <x:v>38</x:v>
      </x:c>
      <x:c r="I12">
        <x:v>18</x:v>
      </x:c>
      <x:c r="J12" t="s">
        <x:v>39</x:v>
      </x:c>
      <x:c r="K12" s="1">
        <x:v>53.4</x:v>
      </x:c>
      <x:c r="L12" s="1">
        <x:v>198</x:v>
      </x:c>
      <x:c r="M12" t="s">
        <x:v>37</x:v>
      </x:c>
      <x:c r="N12" t="s">
        <x:v>40</x:v>
      </x:c>
      <x:c r="O12" t="s">
        <x:v>37</x:v>
      </x:c>
      <x:c r="P12">
        <x:v>14</x:v>
      </x:c>
      <x:c r="Q12" t="s">
        <x:v>79</x:v>
      </x:c>
      <x:c r="R12">
        <x:v>14</x:v>
      </x:c>
      <x:c r="S12">
        <x:v>17</x:v>
      </x:c>
      <x:c r="T12" s="29" t="str">
        <x:v>Fasting started 3 days before the preceding FW25 trial and continued throughout the FW25-to-FW18 transition/acclimation period until the FW18 trial; fasting_duration_days = 3 + inter_trial_interval_days.</x:v>
      </x:c>
      <x:c r="U12" s="4">
        <x:v>0.4</x:v>
      </x:c>
      <x:c r="V12" s="5">
        <x:v>12</x:v>
      </x:c>
      <x:c r="W12" s="6">
        <x:v>0.41</x:v>
      </x:c>
      <x:c r="X12" s="4">
        <x:v>0.76778999999999997</x:v>
      </x:c>
      <x:c r="Y12" s="4"/>
      <x:c r="Z12" s="4"/>
      <x:c r="AA12" s="4"/>
      <x:c r="AB12" s="4"/>
      <x:c r="AC12" s="4">
        <x:v>35.351335074546192</x:v>
      </x:c>
      <x:c r="AD12" s="8">
        <x:v>0</x:v>
      </x:c>
      <x:c r="AE12" t="s">
        <x:v>73</x:v>
      </x:c>
      <x:c r="AF12" t="s">
        <x:v>43</x:v>
      </x:c>
      <x:c r="AG12" t="s">
        <x:v>73</x:v>
      </x:c>
      <x:c r="AH12" t="s">
        <x:v>43</x:v>
      </x:c>
      <x:c r="AI12" t="s">
        <x:v>80</x:v>
      </x:c>
      <x:c r="AJ12" s="29" t="s">
        <x:v>75</x:v>
      </x:c>
    </x:row>
    <x:row r="13">
      <x:c r="A13" s="1" t="s">
        <x:v>46</x:v>
      </x:c>
      <x:c r="B13" t="s">
        <x:v>81</x:v>
      </x:c>
      <x:c r="C13" s="22" t="str">
        <x:v>2012-10</x:v>
      </x:c>
      <x:c r="D13">
        <x:v>2012</x:v>
      </x:c>
      <x:c r="E13" s="1" t="s">
        <x:v>36</x:v>
      </x:c>
      <x:c r="F13">
        <x:v>2</x:v>
      </x:c>
      <x:c r="G13" t="s">
        <x:v>79</x:v>
      </x:c>
      <x:c r="H13" t="s">
        <x:v>38</x:v>
      </x:c>
      <x:c r="I13">
        <x:v>18</x:v>
      </x:c>
      <x:c r="J13" t="s">
        <x:v>39</x:v>
      </x:c>
      <x:c r="K13" s="1">
        <x:v>58.9</x:v>
      </x:c>
      <x:c r="L13" s="1">
        <x:v>300</x:v>
      </x:c>
      <x:c r="M13" t="s">
        <x:v>37</x:v>
      </x:c>
      <x:c r="N13" t="s">
        <x:v>40</x:v>
      </x:c>
      <x:c r="O13" t="s">
        <x:v>37</x:v>
      </x:c>
      <x:c r="P13">
        <x:v>14</x:v>
      </x:c>
      <x:c r="Q13" t="s">
        <x:v>79</x:v>
      </x:c>
      <x:c r="R13">
        <x:v>14</x:v>
      </x:c>
      <x:c r="S13">
        <x:v>17</x:v>
      </x:c>
      <x:c r="T13" s="29" t="str">
        <x:v>Fasting started 3 days before the preceding FW25 trial and continued throughout the FW25-to-FW18 transition/acclimation period until the FW18 trial; fasting_duration_days = 3 + inter_trial_interval_days.</x:v>
      </x:c>
      <x:c r="U13" s="4">
        <x:v>0.7</x:v>
      </x:c>
      <x:c r="V13" s="5">
        <x:v>48</x:v>
      </x:c>
      <x:c r="W13" s="6">
        <x:v>0.74</x:v>
      </x:c>
      <x:c r="X13" s="4">
        <x:v>1.256367</x:v>
      </x:c>
      <x:c r="Y13" s="4">
        <x:v>0.5</x:v>
      </x:c>
      <x:c r="Z13" s="4">
        <x:v>0.84889599999999998</x:v>
      </x:c>
      <x:c r="AA13" s="4">
        <x:v>25.399743640436938</x:v>
      </x:c>
      <x:c r="AB13" s="4">
        <x:v>45.719538552786489</x:v>
      </x:c>
      <x:c r="AC13" s="4">
        <x:v>96.944546842623097</x:v>
      </x:c>
      <x:c r="AD13" s="8">
        <x:v>4</x:v>
      </x:c>
      <x:c r="AE13" t="s">
        <x:v>67</x:v>
      </x:c>
      <x:c r="AF13" t="s">
        <x:v>43</x:v>
      </x:c>
      <x:c r="AG13" t="s">
        <x:v>43</x:v>
      </x:c>
      <x:c r="AH13" t="s">
        <x:v>43</x:v>
      </x:c>
      <x:c r="AJ13" s="29" t="s">
        <x:v>82</x:v>
      </x:c>
    </x:row>
    <x:row r="14">
      <x:c r="A14" s="1" t="s">
        <x:v>49</x:v>
      </x:c>
      <x:c r="B14" t="s">
        <x:v>83</x:v>
      </x:c>
      <x:c r="C14" s="22" t="str">
        <x:v>2012-10</x:v>
      </x:c>
      <x:c r="D14">
        <x:v>2012</x:v>
      </x:c>
      <x:c r="E14" s="1" t="s">
        <x:v>36</x:v>
      </x:c>
      <x:c r="F14">
        <x:v>2</x:v>
      </x:c>
      <x:c r="G14" t="s">
        <x:v>79</x:v>
      </x:c>
      <x:c r="H14" t="s">
        <x:v>38</x:v>
      </x:c>
      <x:c r="I14">
        <x:v>18</x:v>
      </x:c>
      <x:c r="J14" t="s">
        <x:v>39</x:v>
      </x:c>
      <x:c r="K14" s="1">
        <x:v>53.5</x:v>
      </x:c>
      <x:c r="L14" s="1">
        <x:v>183</x:v>
      </x:c>
      <x:c r="M14" t="s">
        <x:v>37</x:v>
      </x:c>
      <x:c r="N14" t="s">
        <x:v>40</x:v>
      </x:c>
      <x:c r="O14" t="s">
        <x:v>37</x:v>
      </x:c>
      <x:c r="P14">
        <x:v>14</x:v>
      </x:c>
      <x:c r="Q14" t="s">
        <x:v>79</x:v>
      </x:c>
      <x:c r="R14">
        <x:v>14</x:v>
      </x:c>
      <x:c r="S14">
        <x:v>17</x:v>
      </x:c>
      <x:c r="T14" s="29" t="str">
        <x:v>Fasting started 3 days before the preceding FW25 trial and continued throughout the FW25-to-FW18 transition/acclimation period until the FW18 trial; fasting_duration_days = 3 + inter_trial_interval_days.</x:v>
      </x:c>
      <x:c r="U14" s="4">
        <x:v>0.4</x:v>
      </x:c>
      <x:c r="V14" s="5">
        <x:v>0</x:v>
      </x:c>
      <x:c r="W14" s="6">
        <x:v>0.4</x:v>
      </x:c>
      <x:c r="X14" s="4">
        <x:v>0.747664</x:v>
      </x:c>
      <x:c r="Y14" s="4"/>
      <x:c r="Z14" s="4"/>
      <x:c r="AA14" s="4"/>
      <x:c r="AB14" s="4"/>
      <x:c r="AC14" s="4">
        <x:v>30.85</x:v>
      </x:c>
      <x:c r="AD14" s="8">
        <x:v>0</x:v>
      </x:c>
      <x:c r="AE14" t="s">
        <x:v>73</x:v>
      </x:c>
      <x:c r="AF14" t="s">
        <x:v>56</x:v>
      </x:c>
      <x:c r="AG14" t="s">
        <x:v>73</x:v>
      </x:c>
      <x:c r="AH14" t="s">
        <x:v>43</x:v>
      </x:c>
      <x:c r="AI14" t="s">
        <x:v>80</x:v>
      </x:c>
      <x:c r="AJ14" s="29" t="s">
        <x:v>84</x:v>
      </x:c>
    </x:row>
    <x:row r="15">
      <x:c r="A15" s="1" t="s">
        <x:v>53</x:v>
      </x:c>
      <x:c r="B15" t="s">
        <x:v>85</x:v>
      </x:c>
      <x:c r="C15" s="22" t="str">
        <x:v>2012-09</x:v>
      </x:c>
      <x:c r="D15">
        <x:v>2012</x:v>
      </x:c>
      <x:c r="E15" s="1" t="s">
        <x:v>36</x:v>
      </x:c>
      <x:c r="F15">
        <x:v>2</x:v>
      </x:c>
      <x:c r="G15" t="s">
        <x:v>79</x:v>
      </x:c>
      <x:c r="H15" t="s">
        <x:v>38</x:v>
      </x:c>
      <x:c r="I15">
        <x:v>18</x:v>
      </x:c>
      <x:c r="J15" t="s">
        <x:v>39</x:v>
      </x:c>
      <x:c r="K15" s="1">
        <x:v>56.3</x:v>
      </x:c>
      <x:c r="L15" s="1">
        <x:v>211</x:v>
      </x:c>
      <x:c r="M15" t="s">
        <x:v>37</x:v>
      </x:c>
      <x:c r="N15" t="s">
        <x:v>40</x:v>
      </x:c>
      <x:c r="O15" t="s">
        <x:v>37</x:v>
      </x:c>
      <x:c r="P15">
        <x:v>3</x:v>
      </x:c>
      <x:c r="Q15" t="s">
        <x:v>79</x:v>
      </x:c>
      <x:c r="R15">
        <x:v>3</x:v>
      </x:c>
      <x:c r="S15">
        <x:v>6</x:v>
      </x:c>
      <x:c r="T15" s="29" t="str">
        <x:v>Fasting started 3 days before the preceding FW25 trial and continued throughout the FW25-to-FW18 transition/acclimation period until the FW18 trial; fasting_duration_days = 3 + inter_trial_interval_days.</x:v>
      </x:c>
      <x:c r="U15" s="4">
        <x:v>0.3</x:v>
      </x:c>
      <x:c r="V15" s="5">
        <x:v>24</x:v>
      </x:c>
      <x:c r="W15" s="6">
        <x:v>0.32</x:v>
      </x:c>
      <x:c r="X15" s="4">
        <x:v>0.568384</x:v>
      </x:c>
      <x:c r="Y15" s="4"/>
      <x:c r="Z15" s="4"/>
      <x:c r="AA15" s="4"/>
      <x:c r="AB15" s="4"/>
      <x:c r="AC15" s="4">
        <x:v>39.125185988246542</x:v>
      </x:c>
      <x:c r="AD15" s="8">
        <x:v>0</x:v>
      </x:c>
      <x:c r="AE15" t="s">
        <x:v>73</x:v>
      </x:c>
      <x:c r="AF15" t="s">
        <x:v>86</x:v>
      </x:c>
      <x:c r="AG15" t="s">
        <x:v>73</x:v>
      </x:c>
      <x:c r="AH15" t="s">
        <x:v>43</x:v>
      </x:c>
      <x:c r="AI15" t="s">
        <x:v>80</x:v>
      </x:c>
      <x:c r="AJ15" s="29" t="s">
        <x:v>87</x:v>
      </x:c>
    </x:row>
    <x:row r="16">
      <x:c r="A16" s="1" t="s">
        <x:v>58</x:v>
      </x:c>
      <x:c r="B16" t="s">
        <x:v>88</x:v>
      </x:c>
      <x:c r="C16" s="22" t="str">
        <x:v>2012-09</x:v>
      </x:c>
      <x:c r="D16">
        <x:v>2012</x:v>
      </x:c>
      <x:c r="E16" s="1" t="s">
        <x:v>36</x:v>
      </x:c>
      <x:c r="F16">
        <x:v>2</x:v>
      </x:c>
      <x:c r="G16" t="s">
        <x:v>79</x:v>
      </x:c>
      <x:c r="H16" t="s">
        <x:v>38</x:v>
      </x:c>
      <x:c r="I16">
        <x:v>18</x:v>
      </x:c>
      <x:c r="J16" t="s">
        <x:v>39</x:v>
      </x:c>
      <x:c r="K16" s="1">
        <x:v>56.8</x:v>
      </x:c>
      <x:c r="L16" s="1">
        <x:v>204</x:v>
      </x:c>
      <x:c r="M16" t="s">
        <x:v>37</x:v>
      </x:c>
      <x:c r="N16" t="s">
        <x:v>40</x:v>
      </x:c>
      <x:c r="O16" t="s">
        <x:v>37</x:v>
      </x:c>
      <x:c r="P16">
        <x:v>3</x:v>
      </x:c>
      <x:c r="Q16" t="s">
        <x:v>79</x:v>
      </x:c>
      <x:c r="R16">
        <x:v>3</x:v>
      </x:c>
      <x:c r="S16">
        <x:v>6</x:v>
      </x:c>
      <x:c r="T16" s="29" t="str">
        <x:v>Fasting started 3 days before the preceding FW25 trial and continued throughout the FW25-to-FW18 transition/acclimation period until the FW18 trial; fasting_duration_days = 3 + inter_trial_interval_days.</x:v>
      </x:c>
      <x:c r="U16" s="4">
        <x:v>1</x:v>
      </x:c>
      <x:c r="V16" s="5">
        <x:v>39.96</x:v>
      </x:c>
      <x:c r="W16" s="6">
        <x:v>1.0333000000000001</x:v>
      </x:c>
      <x:c r="X16" s="4">
        <x:v>1.8191900000000001</x:v>
      </x:c>
      <x:c r="Y16" s="4">
        <x:v>0.8</x:v>
      </x:c>
      <x:c r="Z16" s="4">
        <x:v>1.4084509999999999</x:v>
      </x:c>
      <x:c r="AA16" s="4">
        <x:v>14.553563677083371</x:v>
      </x:c>
      <x:c r="AB16" s="4">
        <x:v>41.914263390000116</x:v>
      </x:c>
      <x:c r="AC16" s="4">
        <x:v>50.834424209117977</x:v>
      </x:c>
      <x:c r="AD16" s="8">
        <x:v>7</x:v>
      </x:c>
      <x:c r="AE16" t="s">
        <x:v>67</x:v>
      </x:c>
      <x:c r="AF16" t="s">
        <x:v>43</x:v>
      </x:c>
      <x:c r="AG16" t="s">
        <x:v>43</x:v>
      </x:c>
      <x:c r="AH16" t="s">
        <x:v>43</x:v>
      </x:c>
      <x:c r="AJ16" s="29"/>
    </x:row>
    <x:row r="17">
      <x:c r="A17" s="1" t="s">
        <x:v>61</x:v>
      </x:c>
      <x:c r="B17" t="s">
        <x:v>89</x:v>
      </x:c>
      <x:c r="C17" s="22" t="str">
        <x:v>2012-10</x:v>
      </x:c>
      <x:c r="D17">
        <x:v>2012</x:v>
      </x:c>
      <x:c r="E17" s="1" t="s">
        <x:v>63</x:v>
      </x:c>
      <x:c r="F17">
        <x:v>2</x:v>
      </x:c>
      <x:c r="G17" t="s">
        <x:v>79</x:v>
      </x:c>
      <x:c r="H17" t="s">
        <x:v>38</x:v>
      </x:c>
      <x:c r="I17">
        <x:v>18</x:v>
      </x:c>
      <x:c r="J17" t="s">
        <x:v>39</x:v>
      </x:c>
      <x:c r="K17" s="1">
        <x:v>62.7</x:v>
      </x:c>
      <x:c r="L17" s="1">
        <x:v>347</x:v>
      </x:c>
      <x:c r="M17" t="s">
        <x:v>37</x:v>
      </x:c>
      <x:c r="N17" t="s">
        <x:v>40</x:v>
      </x:c>
      <x:c r="O17" t="s">
        <x:v>37</x:v>
      </x:c>
      <x:c r="P17">
        <x:v>14</x:v>
      </x:c>
      <x:c r="Q17" t="s">
        <x:v>79</x:v>
      </x:c>
      <x:c r="R17">
        <x:v>14</x:v>
      </x:c>
      <x:c r="S17">
        <x:v>17</x:v>
      </x:c>
      <x:c r="T17" s="29" t="str">
        <x:v>Fasting started 3 days before the preceding FW25 trial and continued throughout the FW25-to-FW18 transition/acclimation period until the FW18 trial; fasting_duration_days = 3 + inter_trial_interval_days.</x:v>
      </x:c>
      <x:c r="U17" s="4">
        <x:v>0.3</x:v>
      </x:c>
      <x:c r="V17" s="5">
        <x:v>24</x:v>
      </x:c>
      <x:c r="W17" s="6">
        <x:v>0.32</x:v>
      </x:c>
      <x:c r="X17" s="4">
        <x:v>0.51036700000000002</x:v>
      </x:c>
      <x:c r="Y17" s="4"/>
      <x:c r="Z17" s="4"/>
      <x:c r="AA17" s="4"/>
      <x:c r="AB17" s="4"/>
      <x:c r="AC17" s="4">
        <x:v>29.44</x:v>
      </x:c>
      <x:c r="AD17" s="8">
        <x:v>0</x:v>
      </x:c>
      <x:c r="AE17" t="s">
        <x:v>73</x:v>
      </x:c>
      <x:c r="AF17" t="s">
        <x:v>86</x:v>
      </x:c>
      <x:c r="AG17" t="s">
        <x:v>73</x:v>
      </x:c>
      <x:c r="AH17" t="s">
        <x:v>43</x:v>
      </x:c>
      <x:c r="AI17" t="s">
        <x:v>80</x:v>
      </x:c>
      <x:c r="AJ17" s="29" t="s">
        <x:v>87</x:v>
      </x:c>
    </x:row>
    <x:row r="18">
      <x:c r="A18" s="1" t="s">
        <x:v>65</x:v>
      </x:c>
      <x:c r="B18" t="s">
        <x:v>90</x:v>
      </x:c>
      <x:c r="C18" s="22" t="str">
        <x:v>2012-10</x:v>
      </x:c>
      <x:c r="D18">
        <x:v>2012</x:v>
      </x:c>
      <x:c r="E18" s="1" t="s">
        <x:v>63</x:v>
      </x:c>
      <x:c r="F18">
        <x:v>2</x:v>
      </x:c>
      <x:c r="G18" t="s">
        <x:v>79</x:v>
      </x:c>
      <x:c r="H18" t="s">
        <x:v>38</x:v>
      </x:c>
      <x:c r="I18">
        <x:v>18</x:v>
      </x:c>
      <x:c r="J18" t="s">
        <x:v>39</x:v>
      </x:c>
      <x:c r="K18" s="1">
        <x:v>70.3</x:v>
      </x:c>
      <x:c r="L18" s="1">
        <x:v>570</x:v>
      </x:c>
      <x:c r="M18" t="s">
        <x:v>37</x:v>
      </x:c>
      <x:c r="N18" t="s">
        <x:v>40</x:v>
      </x:c>
      <x:c r="O18" t="s">
        <x:v>37</x:v>
      </x:c>
      <x:c r="P18">
        <x:v>14</x:v>
      </x:c>
      <x:c r="Q18" t="s">
        <x:v>79</x:v>
      </x:c>
      <x:c r="R18">
        <x:v>14</x:v>
      </x:c>
      <x:c r="S18">
        <x:v>17</x:v>
      </x:c>
      <x:c r="T18" s="29" t="str">
        <x:v>Fasting started 3 days before the preceding FW25 trial and continued throughout the FW25-to-FW18 transition/acclimation period until the FW18 trial; fasting_duration_days = 3 + inter_trial_interval_days.</x:v>
      </x:c>
      <x:c r="U18" s="4">
        <x:v>0.3</x:v>
      </x:c>
      <x:c r="V18" s="5">
        <x:v>48</x:v>
      </x:c>
      <x:c r="W18" s="6">
        <x:v>0.34</x:v>
      </x:c>
      <x:c r="X18" s="4">
        <x:v>0.48364200000000002</x:v>
      </x:c>
      <x:c r="Y18" s="4"/>
      <x:c r="Z18" s="4"/>
      <x:c r="AA18" s="4"/>
      <x:c r="AB18" s="4"/>
      <x:c r="AC18" s="4">
        <x:v>24.35</x:v>
      </x:c>
      <x:c r="AD18" s="8">
        <x:v>0</x:v>
      </x:c>
      <x:c r="AE18" t="s">
        <x:v>73</x:v>
      </x:c>
      <x:c r="AF18" t="s">
        <x:v>86</x:v>
      </x:c>
      <x:c r="AG18" t="s">
        <x:v>73</x:v>
      </x:c>
      <x:c r="AH18" t="s">
        <x:v>43</x:v>
      </x:c>
      <x:c r="AI18" t="s">
        <x:v>80</x:v>
      </x:c>
      <x:c r="AJ18" s="29" t="s">
        <x:v>87</x:v>
      </x:c>
    </x:row>
    <x:row r="19">
      <x:c r="A19" s="1" t="s">
        <x:v>68</x:v>
      </x:c>
      <x:c r="B19" t="s">
        <x:v>91</x:v>
      </x:c>
      <x:c r="C19" s="22" t="str">
        <x:v>2012-10</x:v>
      </x:c>
      <x:c r="D19">
        <x:v>2012</x:v>
      </x:c>
      <x:c r="E19" s="1" t="s">
        <x:v>63</x:v>
      </x:c>
      <x:c r="F19">
        <x:v>2</x:v>
      </x:c>
      <x:c r="G19" t="s">
        <x:v>79</x:v>
      </x:c>
      <x:c r="H19" t="s">
        <x:v>38</x:v>
      </x:c>
      <x:c r="I19">
        <x:v>18</x:v>
      </x:c>
      <x:c r="J19" t="s">
        <x:v>39</x:v>
      </x:c>
      <x:c r="K19" s="1">
        <x:v>66.8</x:v>
      </x:c>
      <x:c r="L19" s="1">
        <x:v>310</x:v>
      </x:c>
      <x:c r="M19" t="s">
        <x:v>37</x:v>
      </x:c>
      <x:c r="N19" t="s">
        <x:v>40</x:v>
      </x:c>
      <x:c r="O19" t="s">
        <x:v>37</x:v>
      </x:c>
      <x:c r="P19">
        <x:v>14</x:v>
      </x:c>
      <x:c r="Q19" t="s">
        <x:v>79</x:v>
      </x:c>
      <x:c r="R19">
        <x:v>14</x:v>
      </x:c>
      <x:c r="S19">
        <x:v>17</x:v>
      </x:c>
      <x:c r="T19" s="29" t="str">
        <x:v>Fasting started 3 days before the preceding FW25 trial and continued throughout the FW25-to-FW18 transition/acclimation period until the FW18 trial; fasting_duration_days = 3 + inter_trial_interval_days.</x:v>
      </x:c>
      <x:c r="U19" s="4">
        <x:v>0.4</x:v>
      </x:c>
      <x:c r="V19" s="5">
        <x:v>36</x:v>
      </x:c>
      <x:c r="W19" s="6">
        <x:v>0.43</x:v>
      </x:c>
      <x:c r="X19" s="4">
        <x:v>0.64371299999999998</x:v>
      </x:c>
      <x:c r="Y19" s="4">
        <x:v>0.4</x:v>
      </x:c>
      <x:c r="Z19" s="4">
        <x:v>0.59880199999999995</x:v>
      </x:c>
      <x:c r="AA19" s="4">
        <x:v>23.888888888888886</x:v>
      </x:c>
      <x:c r="AB19" s="4">
        <x:v>34.4</x:v>
      </x:c>
      <x:c r="AC19" s="4">
        <x:v>36.53</x:v>
      </x:c>
      <x:c r="AD19" s="8">
        <x:v>1</x:v>
      </x:c>
      <x:c r="AE19" t="s">
        <x:v>55</x:v>
      </x:c>
      <x:c r="AF19" t="s">
        <x:v>43</x:v>
      </x:c>
      <x:c r="AG19" t="s">
        <x:v>55</x:v>
      </x:c>
      <x:c r="AH19" t="s">
        <x:v>43</x:v>
      </x:c>
      <x:c r="AJ19" s="29" t="s">
        <x:v>92</x:v>
      </x:c>
    </x:row>
    <x:row r="20">
      <x:c r="A20" s="1" t="s">
        <x:v>71</x:v>
      </x:c>
      <x:c r="B20" t="s">
        <x:v>93</x:v>
      </x:c>
      <x:c r="C20" s="22" t="str">
        <x:v>2012-09</x:v>
      </x:c>
      <x:c r="D20">
        <x:v>2012</x:v>
      </x:c>
      <x:c r="E20" s="1" t="s">
        <x:v>63</x:v>
      </x:c>
      <x:c r="F20">
        <x:v>2</x:v>
      </x:c>
      <x:c r="G20" t="s">
        <x:v>79</x:v>
      </x:c>
      <x:c r="H20" t="s">
        <x:v>38</x:v>
      </x:c>
      <x:c r="I20">
        <x:v>18</x:v>
      </x:c>
      <x:c r="J20" t="s">
        <x:v>39</x:v>
      </x:c>
      <x:c r="K20" s="1">
        <x:v>65.3</x:v>
      </x:c>
      <x:c r="L20" s="1">
        <x:v>440</x:v>
      </x:c>
      <x:c r="M20" t="s">
        <x:v>37</x:v>
      </x:c>
      <x:c r="N20" t="s">
        <x:v>40</x:v>
      </x:c>
      <x:c r="O20" t="s">
        <x:v>37</x:v>
      </x:c>
      <x:c r="P20">
        <x:v>3</x:v>
      </x:c>
      <x:c r="Q20" t="s">
        <x:v>79</x:v>
      </x:c>
      <x:c r="R20">
        <x:v>3</x:v>
      </x:c>
      <x:c r="S20">
        <x:v>6</x:v>
      </x:c>
      <x:c r="T20" s="29" t="str">
        <x:v>Fasting started 3 days before the preceding FW25 trial and continued throughout the FW25-to-FW18 transition/acclimation period until the FW18 trial; fasting_duration_days = 3 + inter_trial_interval_days.</x:v>
      </x:c>
      <x:c r="U20" s="4">
        <x:v>0.3</x:v>
      </x:c>
      <x:c r="V20" s="5">
        <x:v>24</x:v>
      </x:c>
      <x:c r="W20" s="6">
        <x:v>0.32</x:v>
      </x:c>
      <x:c r="X20" s="4">
        <x:v>0.49004599999999998</x:v>
      </x:c>
      <x:c r="Y20" s="4"/>
      <x:c r="Z20" s="4"/>
      <x:c r="AA20" s="4"/>
      <x:c r="AB20" s="4"/>
      <x:c r="AC20" s="4">
        <x:v>30.355237739999659</x:v>
      </x:c>
      <x:c r="AD20" s="8">
        <x:v>0</x:v>
      </x:c>
      <x:c r="AE20" t="s">
        <x:v>73</x:v>
      </x:c>
      <x:c r="AF20" t="s">
        <x:v>86</x:v>
      </x:c>
      <x:c r="AG20" t="s">
        <x:v>73</x:v>
      </x:c>
      <x:c r="AH20" t="s">
        <x:v>43</x:v>
      </x:c>
      <x:c r="AI20" t="s">
        <x:v>80</x:v>
      </x:c>
      <x:c r="AJ20" s="29" t="s">
        <x:v>87</x:v>
      </x:c>
    </x:row>
    <x:row r="21">
      <x:c r="A21" s="1" t="s">
        <x:v>76</x:v>
      </x:c>
      <x:c r="B21" t="s">
        <x:v>94</x:v>
      </x:c>
      <x:c r="C21" s="22" t="str">
        <x:v>2012-09</x:v>
      </x:c>
      <x:c r="D21">
        <x:v>2012</x:v>
      </x:c>
      <x:c r="E21" s="1" t="s">
        <x:v>63</x:v>
      </x:c>
      <x:c r="F21">
        <x:v>2</x:v>
      </x:c>
      <x:c r="G21" t="s">
        <x:v>79</x:v>
      </x:c>
      <x:c r="H21" t="s">
        <x:v>38</x:v>
      </x:c>
      <x:c r="I21">
        <x:v>18</x:v>
      </x:c>
      <x:c r="J21" t="s">
        <x:v>39</x:v>
      </x:c>
      <x:c r="K21" s="1">
        <x:v>69.3</x:v>
      </x:c>
      <x:c r="L21" s="1">
        <x:v>414</x:v>
      </x:c>
      <x:c r="M21" t="s">
        <x:v>37</x:v>
      </x:c>
      <x:c r="N21" t="s">
        <x:v>40</x:v>
      </x:c>
      <x:c r="O21" t="s">
        <x:v>37</x:v>
      </x:c>
      <x:c r="P21">
        <x:v>3</x:v>
      </x:c>
      <x:c r="Q21" t="s">
        <x:v>79</x:v>
      </x:c>
      <x:c r="R21">
        <x:v>3</x:v>
      </x:c>
      <x:c r="S21">
        <x:v>6</x:v>
      </x:c>
      <x:c r="T21" s="29" t="str">
        <x:v>Fasting started 3 days before the preceding FW25 trial and continued throughout the FW25-to-FW18 transition/acclimation period until the FW18 trial; fasting_duration_days = 3 + inter_trial_interval_days.</x:v>
      </x:c>
      <x:c r="U21" s="4">
        <x:v>0.9</x:v>
      </x:c>
      <x:c r="V21" s="5">
        <x:v>21</x:v>
      </x:c>
      <x:c r="W21" s="6">
        <x:v>0.91749999999999998</x:v>
      </x:c>
      <x:c r="X21" s="4">
        <x:v>1.3239540000000001</x:v>
      </x:c>
      <x:c r="Y21" s="4">
        <x:v>0.7</x:v>
      </x:c>
      <x:c r="Z21" s="4">
        <x:v>1.0101009999999999</x:v>
      </x:c>
      <x:c r="AA21" s="4">
        <x:v>14.009545118012397</x:v>
      </x:c>
      <x:c r="AB21" s="4">
        <x:v>35.30405369739124</x:v>
      </x:c>
      <x:c r="AC21" s="4">
        <x:v>38.978258008695427</x:v>
      </x:c>
      <x:c r="AD21" s="8">
        <x:v>6</x:v>
      </x:c>
      <x:c r="AE21" t="s">
        <x:v>67</x:v>
      </x:c>
      <x:c r="AF21" t="s">
        <x:v>43</x:v>
      </x:c>
      <x:c r="AG21" t="s">
        <x:v>43</x:v>
      </x:c>
      <x:c r="AH21" t="s">
        <x:v>43</x:v>
      </x:c>
      <x:c r="AJ21" s="29"/>
    </x:row>
    <x:row r="22">
      <x:c r="A22" s="3" t="s">
        <x:v>95</x:v>
      </x:c>
      <x:c r="B22" t="s">
        <x:v>96</x:v>
      </x:c>
      <x:c r="C22" s="22" t="str">
        <x:v>2012-01</x:v>
      </x:c>
      <x:c r="D22">
        <x:v>2011</x:v>
      </x:c>
      <x:c r="E22" s="1" t="s">
        <x:v>63</x:v>
      </x:c>
      <x:c r="F22">
        <x:v>1</x:v>
      </x:c>
      <x:c r="G22" t="s">
        <x:v>97</x:v>
      </x:c>
      <x:c r="H22" t="s">
        <x:v>98</x:v>
      </x:c>
      <x:c r="I22">
        <x:v>18</x:v>
      </x:c>
      <x:c r="J22" t="s">
        <x:v>39</x:v>
      </x:c>
      <x:c r="K22" s="3">
        <x:v>81</x:v>
      </x:c>
      <x:c r="L22" s="3">
        <x:v>857</x:v>
      </x:c>
      <x:c r="M22" t="s">
        <x:v>97</x:v>
      </x:c>
      <x:c r="N22" t="s">
        <x:v>40</x:v>
      </x:c>
      <x:c r="O22" t="str">
        <x:v>none</x:v>
      </x:c>
      <x:c r="P22" t="s">
        <x:v>41</x:v>
      </x:c>
      <x:c r="Q22" t="s">
        <x:v>97</x:v>
      </x:c>
      <x:c r="R22">
        <x:v>3</x:v>
      </x:c>
      <x:c r="S22">
        <x:v>3</x:v>
      </x:c>
      <x:c r="T22" s="29" t="s">
        <x:v>99</x:v>
      </x:c>
      <x:c r="U22" s="4"/>
      <x:c r="V22" s="5"/>
      <x:c r="W22" s="6"/>
      <x:c r="X22" s="4"/>
      <x:c r="Y22" s="4"/>
      <x:c r="Z22" s="4"/>
      <x:c r="AA22" s="4"/>
      <x:c r="AB22" s="4"/>
      <x:c r="AC22" s="4"/>
      <x:c r="AD22" s="8">
        <x:v>0</x:v>
      </x:c>
      <x:c r="AE22" t="s">
        <x:v>73</x:v>
      </x:c>
      <x:c r="AF22" t="s">
        <x:v>73</x:v>
      </x:c>
      <x:c r="AG22" t="s">
        <x:v>73</x:v>
      </x:c>
      <x:c r="AH22" t="s">
        <x:v>73</x:v>
      </x:c>
      <x:c r="AI22" t="s">
        <x:v>100</x:v>
      </x:c>
      <x:c r="AJ22" s="29" t="s">
        <x:v>75</x:v>
      </x:c>
    </x:row>
    <x:row r="23">
      <x:c r="A23" s="3" t="s">
        <x:v>101</x:v>
      </x:c>
      <x:c r="B23" t="s">
        <x:v>102</x:v>
      </x:c>
      <x:c r="C23" s="22" t="str">
        <x:v>2012-01</x:v>
      </x:c>
      <x:c r="D23">
        <x:v>2011</x:v>
      </x:c>
      <x:c r="E23" s="1" t="s">
        <x:v>63</x:v>
      </x:c>
      <x:c r="F23">
        <x:v>1</x:v>
      </x:c>
      <x:c r="G23" t="s">
        <x:v>97</x:v>
      </x:c>
      <x:c r="H23" t="s">
        <x:v>98</x:v>
      </x:c>
      <x:c r="I23">
        <x:v>18</x:v>
      </x:c>
      <x:c r="J23" t="s">
        <x:v>39</x:v>
      </x:c>
      <x:c r="K23" s="3">
        <x:v>75.400000000000006</x:v>
      </x:c>
      <x:c r="L23" s="3">
        <x:v>713</x:v>
      </x:c>
      <x:c r="M23" t="s">
        <x:v>97</x:v>
      </x:c>
      <x:c r="N23" t="s">
        <x:v>40</x:v>
      </x:c>
      <x:c r="O23" t="str">
        <x:v>none</x:v>
      </x:c>
      <x:c r="P23" t="s">
        <x:v>41</x:v>
      </x:c>
      <x:c r="Q23" t="s">
        <x:v>97</x:v>
      </x:c>
      <x:c r="R23">
        <x:v>3</x:v>
      </x:c>
      <x:c r="S23">
        <x:v>3</x:v>
      </x:c>
      <x:c r="T23" s="29" t="s">
        <x:v>99</x:v>
      </x:c>
      <x:c r="U23" s="4">
        <x:v>0.8</x:v>
      </x:c>
      <x:c r="V23" s="5">
        <x:v>60</x:v>
      </x:c>
      <x:c r="W23" s="6">
        <x:v>0.85000000000000009</x:v>
      </x:c>
      <x:c r="X23" s="4">
        <x:v>1.127321</x:v>
      </x:c>
      <x:c r="Y23" s="4">
        <x:v>0.5</x:v>
      </x:c>
      <x:c r="Z23" s="4">
        <x:v>0.66313</x:v>
      </x:c>
      <x:c r="AA23" s="4">
        <x:v>54.324749207966356</x:v>
      </x:c>
      <x:c r="AB23" s="4">
        <x:v>97.784548574339439</x:v>
      </x:c>
      <x:c r="AC23" s="4">
        <x:v>41.652974257952529</x:v>
      </x:c>
      <x:c r="AD23" s="8">
        <x:v>5</x:v>
      </x:c>
      <x:c r="AE23" t="s">
        <x:v>67</x:v>
      </x:c>
      <x:c r="AF23" t="s">
        <x:v>43</x:v>
      </x:c>
      <x:c r="AG23" t="s">
        <x:v>43</x:v>
      </x:c>
      <x:c r="AH23" t="s">
        <x:v>43</x:v>
      </x:c>
      <x:c r="AJ23" s="29" t="s">
        <x:v>103</x:v>
      </x:c>
    </x:row>
    <x:row r="24">
      <x:c r="A24" s="3" t="s">
        <x:v>104</x:v>
      </x:c>
      <x:c r="B24" t="s">
        <x:v>105</x:v>
      </x:c>
      <x:c r="C24" s="22" t="str">
        <x:v>2012-01</x:v>
      </x:c>
      <x:c r="D24">
        <x:v>2011</x:v>
      </x:c>
      <x:c r="E24" s="1" t="s">
        <x:v>63</x:v>
      </x:c>
      <x:c r="F24">
        <x:v>1</x:v>
      </x:c>
      <x:c r="G24" t="s">
        <x:v>97</x:v>
      </x:c>
      <x:c r="H24" t="s">
        <x:v>98</x:v>
      </x:c>
      <x:c r="I24">
        <x:v>18</x:v>
      </x:c>
      <x:c r="J24" t="s">
        <x:v>39</x:v>
      </x:c>
      <x:c r="K24" s="3">
        <x:v>79.5</x:v>
      </x:c>
      <x:c r="L24" s="3">
        <x:v>862</x:v>
      </x:c>
      <x:c r="M24" t="s">
        <x:v>97</x:v>
      </x:c>
      <x:c r="N24" t="s">
        <x:v>40</x:v>
      </x:c>
      <x:c r="O24" t="str">
        <x:v>none</x:v>
      </x:c>
      <x:c r="P24" t="s">
        <x:v>41</x:v>
      </x:c>
      <x:c r="Q24" t="s">
        <x:v>97</x:v>
      </x:c>
      <x:c r="R24">
        <x:v>3</x:v>
      </x:c>
      <x:c r="S24">
        <x:v>3</x:v>
      </x:c>
      <x:c r="T24" s="29" t="s">
        <x:v>99</x:v>
      </x:c>
      <x:c r="U24" s="4">
        <x:v>0.8</x:v>
      </x:c>
      <x:c r="V24" s="5">
        <x:v>80</x:v>
      </x:c>
      <x:c r="W24" s="6">
        <x:v>0.8666666666666667</x:v>
      </x:c>
      <x:c r="X24" s="4">
        <x:v>1.090147</x:v>
      </x:c>
      <x:c r="Y24" s="4">
        <x:v>0.6</x:v>
      </x:c>
      <x:c r="Z24" s="4">
        <x:v>0.75471699999999997</x:v>
      </x:c>
      <x:c r="AA24" s="4">
        <x:v>50.404207520301718</x:v>
      </x:c>
      <x:c r="AB24" s="4">
        <x:v>108.87308824385171</x:v>
      </x:c>
      <x:c r="AC24" s="4">
        <x:v>59.325434904988334</x:v>
      </x:c>
      <x:c r="AD24" s="8">
        <x:v>3</x:v>
      </x:c>
      <x:c r="AE24" t="s">
        <x:v>42</x:v>
      </x:c>
      <x:c r="AF24" t="s">
        <x:v>43</x:v>
      </x:c>
      <x:c r="AG24" t="s">
        <x:v>44</x:v>
      </x:c>
      <x:c r="AH24" t="s">
        <x:v>43</x:v>
      </x:c>
      <x:c r="AJ24" s="29" t="s">
        <x:v>60</x:v>
      </x:c>
    </x:row>
    <x:row r="25">
      <x:c r="A25" s="3" t="s">
        <x:v>106</x:v>
      </x:c>
      <x:c r="B25" t="s">
        <x:v>107</x:v>
      </x:c>
      <x:c r="C25" s="22" t="str">
        <x:v>2012-01</x:v>
      </x:c>
      <x:c r="D25">
        <x:v>2011</x:v>
      </x:c>
      <x:c r="E25" s="1" t="s">
        <x:v>63</x:v>
      </x:c>
      <x:c r="F25">
        <x:v>1</x:v>
      </x:c>
      <x:c r="G25" t="s">
        <x:v>97</x:v>
      </x:c>
      <x:c r="H25" t="s">
        <x:v>98</x:v>
      </x:c>
      <x:c r="I25">
        <x:v>18</x:v>
      </x:c>
      <x:c r="J25" t="s">
        <x:v>39</x:v>
      </x:c>
      <x:c r="K25" s="3">
        <x:v>77.599999999999994</x:v>
      </x:c>
      <x:c r="L25" s="3">
        <x:v>718</x:v>
      </x:c>
      <x:c r="M25" t="s">
        <x:v>97</x:v>
      </x:c>
      <x:c r="N25" t="s">
        <x:v>40</x:v>
      </x:c>
      <x:c r="O25" t="str">
        <x:v>none</x:v>
      </x:c>
      <x:c r="P25" t="s">
        <x:v>41</x:v>
      </x:c>
      <x:c r="Q25" t="s">
        <x:v>97</x:v>
      </x:c>
      <x:c r="R25">
        <x:v>3</x:v>
      </x:c>
      <x:c r="S25">
        <x:v>3</x:v>
      </x:c>
      <x:c r="T25" s="29" t="s">
        <x:v>99</x:v>
      </x:c>
      <x:c r="U25" s="4">
        <x:v>0.6</x:v>
      </x:c>
      <x:c r="V25" s="5">
        <x:v>30</x:v>
      </x:c>
      <x:c r="W25" s="6">
        <x:v>0.625</x:v>
      </x:c>
      <x:c r="X25" s="4">
        <x:v>0.80541200000000002</x:v>
      </x:c>
      <x:c r="Y25" s="4">
        <x:v>0.4</x:v>
      </x:c>
      <x:c r="Z25" s="4">
        <x:v>0.51546400000000003</x:v>
      </x:c>
      <x:c r="AA25" s="4">
        <x:v>45.167619093837054</x:v>
      </x:c>
      <x:c r="AB25" s="4">
        <x:v>65.041371495125361</x:v>
      </x:c>
      <x:c r="AC25" s="4">
        <x:v>48.335942073259133</x:v>
      </x:c>
      <x:c r="AD25" s="8">
        <x:v>3</x:v>
      </x:c>
      <x:c r="AE25" t="s">
        <x:v>51</x:v>
      </x:c>
      <x:c r="AF25" t="s">
        <x:v>43</x:v>
      </x:c>
      <x:c r="AG25" t="s">
        <x:v>44</x:v>
      </x:c>
      <x:c r="AH25" t="s">
        <x:v>43</x:v>
      </x:c>
      <x:c r="AJ25" s="29" t="s">
        <x:v>108</x:v>
      </x:c>
    </x:row>
    <x:row r="26">
      <x:c r="A26" s="3" t="s">
        <x:v>109</x:v>
      </x:c>
      <x:c r="B26" t="s">
        <x:v>110</x:v>
      </x:c>
      <x:c r="C26" s="22" t="str">
        <x:v>2012-01</x:v>
      </x:c>
      <x:c r="D26">
        <x:v>2011</x:v>
      </x:c>
      <x:c r="E26" s="1" t="s">
        <x:v>63</x:v>
      </x:c>
      <x:c r="F26">
        <x:v>1</x:v>
      </x:c>
      <x:c r="G26" t="s">
        <x:v>97</x:v>
      </x:c>
      <x:c r="H26" t="s">
        <x:v>98</x:v>
      </x:c>
      <x:c r="I26">
        <x:v>18</x:v>
      </x:c>
      <x:c r="J26" t="s">
        <x:v>39</x:v>
      </x:c>
      <x:c r="K26" s="3">
        <x:v>78.2</x:v>
      </x:c>
      <x:c r="L26" s="3">
        <x:v>777</x:v>
      </x:c>
      <x:c r="M26" t="s">
        <x:v>97</x:v>
      </x:c>
      <x:c r="N26" t="s">
        <x:v>40</x:v>
      </x:c>
      <x:c r="O26" t="str">
        <x:v>none</x:v>
      </x:c>
      <x:c r="P26" t="s">
        <x:v>41</x:v>
      </x:c>
      <x:c r="Q26" t="s">
        <x:v>97</x:v>
      </x:c>
      <x:c r="R26">
        <x:v>3</x:v>
      </x:c>
      <x:c r="S26">
        <x:v>3</x:v>
      </x:c>
      <x:c r="T26" s="29" t="s">
        <x:v>99</x:v>
      </x:c>
      <x:c r="U26" s="4">
        <x:v>0.6</x:v>
      </x:c>
      <x:c r="V26" s="5">
        <x:v>0</x:v>
      </x:c>
      <x:c r="W26" s="6">
        <x:v>0.6</x:v>
      </x:c>
      <x:c r="X26" s="4">
        <x:v>0.76726300000000003</x:v>
      </x:c>
      <x:c r="Y26" s="4">
        <x:v>0.4</x:v>
      </x:c>
      <x:c r="Z26" s="4">
        <x:v>0.51150899999999999</x:v>
      </x:c>
      <x:c r="AA26" s="4">
        <x:v>55.098437677489564</x:v>
      </x:c>
      <x:c r="AB26" s="4">
        <x:v>79.341750255584984</x:v>
      </x:c>
      <x:c r="AC26" s="4">
        <x:v>66.986487298203372</x:v>
      </x:c>
      <x:c r="AD26" s="8">
        <x:v>3</x:v>
      </x:c>
      <x:c r="AE26" t="s">
        <x:v>51</x:v>
      </x:c>
      <x:c r="AF26" t="s">
        <x:v>56</x:v>
      </x:c>
      <x:c r="AG26" t="s">
        <x:v>44</x:v>
      </x:c>
      <x:c r="AH26" t="s">
        <x:v>43</x:v>
      </x:c>
      <x:c r="AJ26" s="29" t="s">
        <x:v>111</x:v>
      </x:c>
    </x:row>
    <x:row r="27">
      <x:c r="A27" s="3" t="s">
        <x:v>112</x:v>
      </x:c>
      <x:c r="B27" t="s">
        <x:v>113</x:v>
      </x:c>
      <x:c r="C27" s="22" t="str">
        <x:v>2012-01</x:v>
      </x:c>
      <x:c r="D27">
        <x:v>2011</x:v>
      </x:c>
      <x:c r="E27" s="1" t="s">
        <x:v>63</x:v>
      </x:c>
      <x:c r="F27">
        <x:v>1</x:v>
      </x:c>
      <x:c r="G27" t="s">
        <x:v>97</x:v>
      </x:c>
      <x:c r="H27" t="s">
        <x:v>98</x:v>
      </x:c>
      <x:c r="I27">
        <x:v>18</x:v>
      </x:c>
      <x:c r="J27" t="s">
        <x:v>39</x:v>
      </x:c>
      <x:c r="K27" s="3">
        <x:v>73</x:v>
      </x:c>
      <x:c r="L27" s="3">
        <x:v>615</x:v>
      </x:c>
      <x:c r="M27" t="s">
        <x:v>97</x:v>
      </x:c>
      <x:c r="N27" t="s">
        <x:v>40</x:v>
      </x:c>
      <x:c r="O27" t="str">
        <x:v>none</x:v>
      </x:c>
      <x:c r="P27" t="s">
        <x:v>41</x:v>
      </x:c>
      <x:c r="Q27" t="s">
        <x:v>97</x:v>
      </x:c>
      <x:c r="R27">
        <x:v>3</x:v>
      </x:c>
      <x:c r="S27">
        <x:v>3</x:v>
      </x:c>
      <x:c r="T27" s="29" t="s">
        <x:v>99</x:v>
      </x:c>
      <x:c r="U27" s="4">
        <x:v>1</x:v>
      </x:c>
      <x:c r="V27" s="5">
        <x:v>5</x:v>
      </x:c>
      <x:c r="W27" s="6">
        <x:v>1.0041666666666667</x:v>
      </x:c>
      <x:c r="X27" s="4">
        <x:v>1.3755710000000001</x:v>
      </x:c>
      <x:c r="Y27" s="4">
        <x:v>0.5</x:v>
      </x:c>
      <x:c r="Z27" s="4">
        <x:v>0.68493199999999999</x:v>
      </x:c>
      <x:c r="AA27" s="4">
        <x:v>46.823101706710176</x:v>
      </x:c>
      <x:c r="AB27" s="4">
        <x:v>84.28158307207832</x:v>
      </x:c>
      <x:c r="AC27" s="4">
        <x:v>61.190180937557777</x:v>
      </x:c>
      <x:c r="AD27" s="8">
        <x:v>6</x:v>
      </x:c>
      <x:c r="AE27" t="s">
        <x:v>67</x:v>
      </x:c>
      <x:c r="AF27" t="s">
        <x:v>43</x:v>
      </x:c>
      <x:c r="AG27" t="s">
        <x:v>43</x:v>
      </x:c>
      <x:c r="AH27" t="s">
        <x:v>43</x:v>
      </x:c>
      <x:c r="AJ27" s="29" t="s">
        <x:v>114</x:v>
      </x:c>
    </x:row>
    <x:row r="28">
      <x:c r="A28" s="3" t="s">
        <x:v>115</x:v>
      </x:c>
      <x:c r="B28" t="s">
        <x:v>116</x:v>
      </x:c>
      <x:c r="C28" s="22" t="str">
        <x:v>2012-01</x:v>
      </x:c>
      <x:c r="D28">
        <x:v>2011</x:v>
      </x:c>
      <x:c r="E28" s="1" t="s">
        <x:v>63</x:v>
      </x:c>
      <x:c r="F28">
        <x:v>1</x:v>
      </x:c>
      <x:c r="G28" t="s">
        <x:v>97</x:v>
      </x:c>
      <x:c r="H28" t="s">
        <x:v>98</x:v>
      </x:c>
      <x:c r="I28">
        <x:v>18</x:v>
      </x:c>
      <x:c r="J28" t="s">
        <x:v>39</x:v>
      </x:c>
      <x:c r="K28" s="3">
        <x:v>70</x:v>
      </x:c>
      <x:c r="L28" s="3">
        <x:v>529</x:v>
      </x:c>
      <x:c r="M28" t="s">
        <x:v>97</x:v>
      </x:c>
      <x:c r="N28" t="s">
        <x:v>40</x:v>
      </x:c>
      <x:c r="O28" t="str">
        <x:v>none</x:v>
      </x:c>
      <x:c r="P28" t="s">
        <x:v>41</x:v>
      </x:c>
      <x:c r="Q28" t="s">
        <x:v>97</x:v>
      </x:c>
      <x:c r="R28">
        <x:v>3</x:v>
      </x:c>
      <x:c r="S28">
        <x:v>3</x:v>
      </x:c>
      <x:c r="T28" s="29" t="s">
        <x:v>99</x:v>
      </x:c>
      <x:c r="U28" s="4">
        <x:v>0.8</x:v>
      </x:c>
      <x:c r="V28" s="5">
        <x:v>30</x:v>
      </x:c>
      <x:c r="W28" s="6">
        <x:v>0.82500000000000007</x:v>
      </x:c>
      <x:c r="X28" s="4">
        <x:v>1.178571</x:v>
      </x:c>
      <x:c r="Y28" s="4">
        <x:v>0.5</x:v>
      </x:c>
      <x:c r="Z28" s="4">
        <x:v>0.71428599999999998</x:v>
      </x:c>
      <x:c r="AA28" s="4">
        <x:v>58.75375228292684</x:v>
      </x:c>
      <x:c r="AB28" s="4">
        <x:v>105.75675410926831</x:v>
      </x:c>
      <x:c r="AC28" s="4">
        <x:v>68.098077746341659</x:v>
      </x:c>
      <x:c r="AD28" s="8">
        <x:v>5</x:v>
      </x:c>
      <x:c r="AE28" t="s">
        <x:v>67</x:v>
      </x:c>
      <x:c r="AF28" t="s">
        <x:v>43</x:v>
      </x:c>
      <x:c r="AG28" t="s">
        <x:v>43</x:v>
      </x:c>
      <x:c r="AH28" t="s">
        <x:v>43</x:v>
      </x:c>
      <x:c r="AJ28" s="29" t="s">
        <x:v>117</x:v>
      </x:c>
    </x:row>
    <x:row r="29">
      <x:c r="A29" s="3" t="s">
        <x:v>118</x:v>
      </x:c>
      <x:c r="B29" t="s">
        <x:v>119</x:v>
      </x:c>
      <x:c r="C29" s="22" t="str">
        <x:v>2012-01</x:v>
      </x:c>
      <x:c r="D29">
        <x:v>2011</x:v>
      </x:c>
      <x:c r="E29" s="1" t="s">
        <x:v>120</x:v>
      </x:c>
      <x:c r="F29">
        <x:v>1</x:v>
      </x:c>
      <x:c r="G29" t="s">
        <x:v>97</x:v>
      </x:c>
      <x:c r="H29" t="s">
        <x:v>98</x:v>
      </x:c>
      <x:c r="I29">
        <x:v>18</x:v>
      </x:c>
      <x:c r="J29" t="s">
        <x:v>39</x:v>
      </x:c>
      <x:c r="K29" s="3">
        <x:v>78.5</x:v>
      </x:c>
      <x:c r="L29" s="3">
        <x:v>825</x:v>
      </x:c>
      <x:c r="M29" t="s">
        <x:v>97</x:v>
      </x:c>
      <x:c r="N29" t="s">
        <x:v>40</x:v>
      </x:c>
      <x:c r="O29" t="str">
        <x:v>none</x:v>
      </x:c>
      <x:c r="P29" t="s">
        <x:v>41</x:v>
      </x:c>
      <x:c r="Q29" t="s">
        <x:v>97</x:v>
      </x:c>
      <x:c r="R29">
        <x:v>3</x:v>
      </x:c>
      <x:c r="S29">
        <x:v>3</x:v>
      </x:c>
      <x:c r="T29" s="29" t="s">
        <x:v>99</x:v>
      </x:c>
      <x:c r="U29" s="4">
        <x:v>0.9</x:v>
      </x:c>
      <x:c r="V29" s="5">
        <x:v>0</x:v>
      </x:c>
      <x:c r="W29" s="6">
        <x:v>0.9</x:v>
      </x:c>
      <x:c r="X29" s="4">
        <x:v>1.1464970000000001</x:v>
      </x:c>
      <x:c r="Y29" s="4">
        <x:v>0.4</x:v>
      </x:c>
      <x:c r="Z29" s="4">
        <x:v>0.50955399999999995</x:v>
      </x:c>
      <x:c r="AA29" s="4">
        <x:v>55.228150101818116</x:v>
      </x:c>
      <x:c r="AB29" s="4">
        <x:v>79.528536146618094</x:v>
      </x:c>
      <x:c r="AC29" s="4">
        <x:v>41.500510842763632</x:v>
      </x:c>
      <x:c r="AD29" s="8">
        <x:v>6</x:v>
      </x:c>
      <x:c r="AE29" t="s">
        <x:v>51</x:v>
      </x:c>
      <x:c r="AF29" t="s">
        <x:v>56</x:v>
      </x:c>
      <x:c r="AG29" t="s">
        <x:v>44</x:v>
      </x:c>
      <x:c r="AH29" t="s">
        <x:v>43</x:v>
      </x:c>
      <x:c r="AJ29" s="29" t="s">
        <x:v>121</x:v>
      </x:c>
    </x:row>
    <x:row r="30">
      <x:c r="A30" s="3" t="s">
        <x:v>122</x:v>
      </x:c>
      <x:c r="B30" t="s">
        <x:v>123</x:v>
      </x:c>
      <x:c r="C30" s="22" t="str">
        <x:v>2012-01</x:v>
      </x:c>
      <x:c r="D30">
        <x:v>2011</x:v>
      </x:c>
      <x:c r="E30" s="1" t="s">
        <x:v>120</x:v>
      </x:c>
      <x:c r="F30">
        <x:v>1</x:v>
      </x:c>
      <x:c r="G30" t="s">
        <x:v>97</x:v>
      </x:c>
      <x:c r="H30" t="s">
        <x:v>98</x:v>
      </x:c>
      <x:c r="I30">
        <x:v>18</x:v>
      </x:c>
      <x:c r="J30" t="s">
        <x:v>39</x:v>
      </x:c>
      <x:c r="K30" s="3">
        <x:v>80.3</x:v>
      </x:c>
      <x:c r="L30" s="3">
        <x:v>914</x:v>
      </x:c>
      <x:c r="M30" t="s">
        <x:v>97</x:v>
      </x:c>
      <x:c r="N30" t="s">
        <x:v>40</x:v>
      </x:c>
      <x:c r="O30" t="str">
        <x:v>none</x:v>
      </x:c>
      <x:c r="P30" t="s">
        <x:v>41</x:v>
      </x:c>
      <x:c r="Q30" t="s">
        <x:v>97</x:v>
      </x:c>
      <x:c r="R30">
        <x:v>3</x:v>
      </x:c>
      <x:c r="S30">
        <x:v>3</x:v>
      </x:c>
      <x:c r="T30" s="29" t="s">
        <x:v>99</x:v>
      </x:c>
      <x:c r="U30" s="4">
        <x:v>0.9</x:v>
      </x:c>
      <x:c r="V30" s="5">
        <x:v>10</x:v>
      </x:c>
      <x:c r="W30" s="6">
        <x:v>0.90833333333333333</x:v>
      </x:c>
      <x:c r="X30" s="4">
        <x:v>1.131175</x:v>
      </x:c>
      <x:c r="Y30" s="4">
        <x:v>0.8</x:v>
      </x:c>
      <x:c r="Z30" s="4">
        <x:v>0.99626400000000004</x:v>
      </x:c>
      <x:c r="AA30" s="4">
        <x:v>76.862578122948534</x:v>
      </x:c>
      <x:c r="AB30" s="4">
        <x:v>221.36422499409178</x:v>
      </x:c>
      <x:c r="AC30" s="4">
        <x:v>49.576420773216682</x:v>
      </x:c>
      <x:c r="AD30" s="8">
        <x:v>6</x:v>
      </x:c>
      <x:c r="AE30" t="s">
        <x:v>67</x:v>
      </x:c>
      <x:c r="AF30" t="s">
        <x:v>43</x:v>
      </x:c>
      <x:c r="AG30" t="s">
        <x:v>43</x:v>
      </x:c>
      <x:c r="AH30" t="s">
        <x:v>43</x:v>
      </x:c>
      <x:c r="AJ30" s="29" t="s">
        <x:v>124</x:v>
      </x:c>
    </x:row>
    <x:row r="31">
      <x:c r="A31" s="3" t="s">
        <x:v>125</x:v>
      </x:c>
      <x:c r="B31" t="s">
        <x:v>126</x:v>
      </x:c>
      <x:c r="C31" s="22" t="str">
        <x:v>2012-01</x:v>
      </x:c>
      <x:c r="D31">
        <x:v>2011</x:v>
      </x:c>
      <x:c r="E31" s="1" t="s">
        <x:v>120</x:v>
      </x:c>
      <x:c r="F31">
        <x:v>1</x:v>
      </x:c>
      <x:c r="G31" t="s">
        <x:v>97</x:v>
      </x:c>
      <x:c r="H31" t="s">
        <x:v>98</x:v>
      </x:c>
      <x:c r="I31">
        <x:v>18</x:v>
      </x:c>
      <x:c r="J31" t="s">
        <x:v>39</x:v>
      </x:c>
      <x:c r="K31" s="3">
        <x:v>77.5</x:v>
      </x:c>
      <x:c r="L31" s="3">
        <x:v>747</x:v>
      </x:c>
      <x:c r="M31" t="s">
        <x:v>97</x:v>
      </x:c>
      <x:c r="N31" t="s">
        <x:v>40</x:v>
      </x:c>
      <x:c r="O31" t="str">
        <x:v>none</x:v>
      </x:c>
      <x:c r="P31" t="s">
        <x:v>41</x:v>
      </x:c>
      <x:c r="Q31" t="s">
        <x:v>97</x:v>
      </x:c>
      <x:c r="R31">
        <x:v>3</x:v>
      </x:c>
      <x:c r="S31">
        <x:v>3</x:v>
      </x:c>
      <x:c r="T31" s="29" t="s">
        <x:v>99</x:v>
      </x:c>
      <x:c r="U31" s="4">
        <x:v>0.7</x:v>
      </x:c>
      <x:c r="V31" s="5">
        <x:v>30</x:v>
      </x:c>
      <x:c r="W31" s="6">
        <x:v>0.72500000000000009</x:v>
      </x:c>
      <x:c r="X31" s="4">
        <x:v>0.93548399999999998</x:v>
      </x:c>
      <x:c r="Y31" s="4">
        <x:v>0.6</x:v>
      </x:c>
      <x:c r="Z31" s="4">
        <x:v>0.77419400000000005</x:v>
      </x:c>
      <x:c r="AA31" s="4">
        <x:v>45.242374421686698</x:v>
      </x:c>
      <x:c r="AB31" s="4">
        <x:v>97.723528750843272</x:v>
      </x:c>
      <x:c r="AC31" s="4">
        <x:v>41.979622976024146</x:v>
      </x:c>
      <x:c r="AD31" s="8">
        <x:v>4</x:v>
      </x:c>
      <x:c r="AE31" t="s">
        <x:v>67</x:v>
      </x:c>
      <x:c r="AF31" t="s">
        <x:v>43</x:v>
      </x:c>
      <x:c r="AG31" t="s">
        <x:v>43</x:v>
      </x:c>
      <x:c r="AH31" t="s">
        <x:v>43</x:v>
      </x:c>
      <x:c r="AJ31" s="29"/>
    </x:row>
    <x:row r="32">
      <x:c r="A32" s="3" t="s">
        <x:v>127</x:v>
      </x:c>
      <x:c r="B32" t="s">
        <x:v>128</x:v>
      </x:c>
      <x:c r="C32" s="22" t="str">
        <x:v>2012-01</x:v>
      </x:c>
      <x:c r="D32">
        <x:v>2011</x:v>
      </x:c>
      <x:c r="E32" s="1" t="s">
        <x:v>120</x:v>
      </x:c>
      <x:c r="F32">
        <x:v>1</x:v>
      </x:c>
      <x:c r="G32" t="s">
        <x:v>97</x:v>
      </x:c>
      <x:c r="H32" t="s">
        <x:v>98</x:v>
      </x:c>
      <x:c r="I32">
        <x:v>18</x:v>
      </x:c>
      <x:c r="J32" t="s">
        <x:v>39</x:v>
      </x:c>
      <x:c r="K32" s="3">
        <x:v>73.2</x:v>
      </x:c>
      <x:c r="L32" s="3">
        <x:v>720</x:v>
      </x:c>
      <x:c r="M32" t="s">
        <x:v>97</x:v>
      </x:c>
      <x:c r="N32" t="s">
        <x:v>40</x:v>
      </x:c>
      <x:c r="O32" t="str">
        <x:v>none</x:v>
      </x:c>
      <x:c r="P32" t="s">
        <x:v>41</x:v>
      </x:c>
      <x:c r="Q32" t="s">
        <x:v>97</x:v>
      </x:c>
      <x:c r="R32">
        <x:v>3</x:v>
      </x:c>
      <x:c r="S32">
        <x:v>3</x:v>
      </x:c>
      <x:c r="T32" s="29" t="s">
        <x:v>99</x:v>
      </x:c>
      <x:c r="U32" s="4">
        <x:v>0.9</x:v>
      </x:c>
      <x:c r="V32" s="5">
        <x:v>10</x:v>
      </x:c>
      <x:c r="W32" s="6">
        <x:v>0.90833333333333333</x:v>
      </x:c>
      <x:c r="X32" s="4">
        <x:v>1.240893</x:v>
      </x:c>
      <x:c r="Y32" s="4">
        <x:v>0.6</x:v>
      </x:c>
      <x:c r="Z32" s="4">
        <x:v>0.81967199999999996</x:v>
      </x:c>
      <x:c r="AA32" s="4">
        <x:v>43.172180577662026</x:v>
      </x:c>
      <x:c r="AB32" s="4">
        <x:v>93.251910047749988</x:v>
      </x:c>
      <x:c r="AC32" s="4">
        <x:v>42.235808149500045</x:v>
      </x:c>
      <x:c r="AD32" s="8">
        <x:v>6</x:v>
      </x:c>
      <x:c r="AE32" t="s">
        <x:v>67</x:v>
      </x:c>
      <x:c r="AF32" t="s">
        <x:v>43</x:v>
      </x:c>
      <x:c r="AG32" t="s">
        <x:v>43</x:v>
      </x:c>
      <x:c r="AH32" t="s">
        <x:v>43</x:v>
      </x:c>
      <x:c r="AJ32" s="29"/>
    </x:row>
    <x:row r="33">
      <x:c r="A33" s="3" t="s">
        <x:v>129</x:v>
      </x:c>
      <x:c r="B33" t="s">
        <x:v>130</x:v>
      </x:c>
      <x:c r="C33" s="22" t="str">
        <x:v>2012-01</x:v>
      </x:c>
      <x:c r="D33">
        <x:v>2011</x:v>
      </x:c>
      <x:c r="E33" s="1" t="s">
        <x:v>120</x:v>
      </x:c>
      <x:c r="F33">
        <x:v>1</x:v>
      </x:c>
      <x:c r="G33" t="s">
        <x:v>97</x:v>
      </x:c>
      <x:c r="H33" t="s">
        <x:v>98</x:v>
      </x:c>
      <x:c r="I33">
        <x:v>18</x:v>
      </x:c>
      <x:c r="J33" t="s">
        <x:v>39</x:v>
      </x:c>
      <x:c r="K33" s="3">
        <x:v>81.5</x:v>
      </x:c>
      <x:c r="L33" s="3">
        <x:v>906</x:v>
      </x:c>
      <x:c r="M33" t="s">
        <x:v>97</x:v>
      </x:c>
      <x:c r="N33" t="s">
        <x:v>40</x:v>
      </x:c>
      <x:c r="O33" t="str">
        <x:v>none</x:v>
      </x:c>
      <x:c r="P33" t="s">
        <x:v>41</x:v>
      </x:c>
      <x:c r="Q33" t="s">
        <x:v>97</x:v>
      </x:c>
      <x:c r="R33">
        <x:v>3</x:v>
      </x:c>
      <x:c r="S33">
        <x:v>3</x:v>
      </x:c>
      <x:c r="T33" s="29" t="s">
        <x:v>99</x:v>
      </x:c>
      <x:c r="U33" s="4">
        <x:v>1</x:v>
      </x:c>
      <x:c r="V33" s="5">
        <x:v>50</x:v>
      </x:c>
      <x:c r="W33" s="6">
        <x:v>1.0416666666666667</x:v>
      </x:c>
      <x:c r="X33" s="4">
        <x:v>1.278119</x:v>
      </x:c>
      <x:c r="Y33" s="4">
        <x:v>0.7</x:v>
      </x:c>
      <x:c r="Z33" s="4">
        <x:v>0.85889599999999999</x:v>
      </x:c>
      <x:c r="AA33" s="4">
        <x:v>29.99588625291706</x:v>
      </x:c>
      <x:c r="AB33" s="4">
        <x:v>75.589633357350991</x:v>
      </x:c>
      <x:c r="AC33" s="4">
        <x:v>46.113058422913916</x:v>
      </x:c>
      <x:c r="AD33" s="8">
        <x:v>7</x:v>
      </x:c>
      <x:c r="AE33" t="s">
        <x:v>67</x:v>
      </x:c>
      <x:c r="AF33" t="s">
        <x:v>43</x:v>
      </x:c>
      <x:c r="AG33" t="s">
        <x:v>43</x:v>
      </x:c>
      <x:c r="AH33" t="s">
        <x:v>43</x:v>
      </x:c>
      <x:c r="AJ33" s="29"/>
    </x:row>
    <x:row r="34">
      <x:c r="A34" s="3" t="s">
        <x:v>131</x:v>
      </x:c>
      <x:c r="B34" t="s">
        <x:v>132</x:v>
      </x:c>
      <x:c r="C34" s="22" t="str">
        <x:v>2012-01</x:v>
      </x:c>
      <x:c r="D34">
        <x:v>2011</x:v>
      </x:c>
      <x:c r="E34" s="1" t="s">
        <x:v>120</x:v>
      </x:c>
      <x:c r="F34">
        <x:v>1</x:v>
      </x:c>
      <x:c r="G34" t="s">
        <x:v>97</x:v>
      </x:c>
      <x:c r="H34" t="s">
        <x:v>98</x:v>
      </x:c>
      <x:c r="I34">
        <x:v>18</x:v>
      </x:c>
      <x:c r="J34" t="s">
        <x:v>39</x:v>
      </x:c>
      <x:c r="K34" s="3">
        <x:v>83</x:v>
      </x:c>
      <x:c r="L34" s="3">
        <x:v>977</x:v>
      </x:c>
      <x:c r="M34" t="s">
        <x:v>97</x:v>
      </x:c>
      <x:c r="N34" t="s">
        <x:v>40</x:v>
      </x:c>
      <x:c r="O34" t="str">
        <x:v>none</x:v>
      </x:c>
      <x:c r="P34" t="s">
        <x:v>41</x:v>
      </x:c>
      <x:c r="Q34" t="s">
        <x:v>97</x:v>
      </x:c>
      <x:c r="R34">
        <x:v>3</x:v>
      </x:c>
      <x:c r="S34">
        <x:v>3</x:v>
      </x:c>
      <x:c r="T34" s="29" t="s">
        <x:v>99</x:v>
      </x:c>
      <x:c r="U34" s="4">
        <x:v>0.6</x:v>
      </x:c>
      <x:c r="V34" s="5">
        <x:v>30</x:v>
      </x:c>
      <x:c r="W34" s="6">
        <x:v>0.625</x:v>
      </x:c>
      <x:c r="X34" s="4">
        <x:v>0.75301200000000001</x:v>
      </x:c>
      <x:c r="Y34" s="4">
        <x:v>0.6</x:v>
      </x:c>
      <x:c r="Z34" s="4">
        <x:v>0.72289199999999998</x:v>
      </x:c>
      <x:c r="AA34" s="4">
        <x:v>41.974596247014688</x:v>
      </x:c>
      <x:c r="AB34" s="4">
        <x:v>90.665127893551727</x:v>
      </x:c>
      <x:c r="AC34" s="4">
        <x:v>74.897276719836256</x:v>
      </x:c>
      <x:c r="AD34" s="8">
        <x:v>3</x:v>
      </x:c>
      <x:c r="AE34" t="s">
        <x:v>42</x:v>
      </x:c>
      <x:c r="AF34" t="s">
        <x:v>43</x:v>
      </x:c>
      <x:c r="AG34" t="s">
        <x:v>44</x:v>
      </x:c>
      <x:c r="AH34" t="s">
        <x:v>43</x:v>
      </x:c>
      <x:c r="AJ34" s="29" t="s">
        <x:v>60</x:v>
      </x:c>
    </x:row>
    <x:row r="35">
      <x:c r="A35" s="3" t="s">
        <x:v>133</x:v>
      </x:c>
      <x:c r="B35" t="s">
        <x:v>134</x:v>
      </x:c>
      <x:c r="C35" s="22" t="str">
        <x:v>2012-01</x:v>
      </x:c>
      <x:c r="D35">
        <x:v>2011</x:v>
      </x:c>
      <x:c r="E35" s="1" t="s">
        <x:v>120</x:v>
      </x:c>
      <x:c r="F35">
        <x:v>1</x:v>
      </x:c>
      <x:c r="G35" t="s">
        <x:v>97</x:v>
      </x:c>
      <x:c r="H35" t="s">
        <x:v>98</x:v>
      </x:c>
      <x:c r="I35">
        <x:v>18</x:v>
      </x:c>
      <x:c r="J35" t="s">
        <x:v>39</x:v>
      </x:c>
      <x:c r="K35" s="3">
        <x:v>93</x:v>
      </x:c>
      <x:c r="L35" s="3">
        <x:v>1366</x:v>
      </x:c>
      <x:c r="M35" t="s">
        <x:v>97</x:v>
      </x:c>
      <x:c r="N35" t="s">
        <x:v>40</x:v>
      </x:c>
      <x:c r="O35" t="str">
        <x:v>none</x:v>
      </x:c>
      <x:c r="P35" t="s">
        <x:v>41</x:v>
      </x:c>
      <x:c r="Q35" t="s">
        <x:v>97</x:v>
      </x:c>
      <x:c r="R35">
        <x:v>3</x:v>
      </x:c>
      <x:c r="S35">
        <x:v>3</x:v>
      </x:c>
      <x:c r="T35" s="29" t="s">
        <x:v>99</x:v>
      </x:c>
      <x:c r="U35" s="4">
        <x:v>0.6</x:v>
      </x:c>
      <x:c r="V35" s="5">
        <x:v>30</x:v>
      </x:c>
      <x:c r="W35" s="6">
        <x:v>0.625</x:v>
      </x:c>
      <x:c r="X35" s="4">
        <x:v>0.67204299999999995</x:v>
      </x:c>
      <x:c r="Y35" s="4">
        <x:v>0.5</x:v>
      </x:c>
      <x:c r="Z35" s="4">
        <x:v>0.53763399999999995</x:v>
      </x:c>
      <x:c r="AA35" s="4">
        <x:v>40.820976543338269</x:v>
      </x:c>
      <x:c r="AB35" s="4">
        <x:v>73.477757778008879</x:v>
      </x:c>
      <x:c r="AC35" s="4">
        <x:v>48.876881856456777</x:v>
      </x:c>
      <x:c r="AD35" s="8">
        <x:v>3</x:v>
      </x:c>
      <x:c r="AE35" t="s">
        <x:v>67</x:v>
      </x:c>
      <x:c r="AF35" t="s">
        <x:v>43</x:v>
      </x:c>
      <x:c r="AG35" t="s">
        <x:v>43</x:v>
      </x:c>
      <x:c r="AH35" t="s">
        <x:v>43</x:v>
      </x:c>
      <x:c r="AJ35" s="29"/>
    </x:row>
    <x:row r="36">
      <x:c r="A36" s="3" t="s">
        <x:v>135</x:v>
      </x:c>
      <x:c r="B36" t="s">
        <x:v>136</x:v>
      </x:c>
      <x:c r="C36" s="22" t="str">
        <x:v>2012-01</x:v>
      </x:c>
      <x:c r="D36">
        <x:v>2011</x:v>
      </x:c>
      <x:c r="E36" s="1" t="s">
        <x:v>120</x:v>
      </x:c>
      <x:c r="F36">
        <x:v>1</x:v>
      </x:c>
      <x:c r="G36" t="s">
        <x:v>97</x:v>
      </x:c>
      <x:c r="H36" t="s">
        <x:v>98</x:v>
      </x:c>
      <x:c r="I36">
        <x:v>18</x:v>
      </x:c>
      <x:c r="J36" t="s">
        <x:v>39</x:v>
      </x:c>
      <x:c r="K36" s="3">
        <x:v>91</x:v>
      </x:c>
      <x:c r="L36" s="3">
        <x:v>1060</x:v>
      </x:c>
      <x:c r="M36" t="s">
        <x:v>97</x:v>
      </x:c>
      <x:c r="N36" t="s">
        <x:v>40</x:v>
      </x:c>
      <x:c r="O36" t="str">
        <x:v>none</x:v>
      </x:c>
      <x:c r="P36" t="s">
        <x:v>41</x:v>
      </x:c>
      <x:c r="Q36" t="s">
        <x:v>97</x:v>
      </x:c>
      <x:c r="R36">
        <x:v>3</x:v>
      </x:c>
      <x:c r="S36">
        <x:v>3</x:v>
      </x:c>
      <x:c r="T36" s="29" t="s">
        <x:v>99</x:v>
      </x:c>
      <x:c r="U36" s="4">
        <x:v>0.6</x:v>
      </x:c>
      <x:c r="V36" s="5">
        <x:v>30</x:v>
      </x:c>
      <x:c r="W36" s="6">
        <x:v>0.625</x:v>
      </x:c>
      <x:c r="X36" s="4">
        <x:v>0.68681300000000001</x:v>
      </x:c>
      <x:c r="Y36" s="4">
        <x:v>0.4</x:v>
      </x:c>
      <x:c r="Z36" s="4">
        <x:v>0.43956000000000001</x:v>
      </x:c>
      <x:c r="AA36" s="4">
        <x:v>50.453820494575439</x:v>
      </x:c>
      <x:c r="AB36" s="4">
        <x:v>72.65350151218864</x:v>
      </x:c>
      <x:c r="AC36" s="4">
        <x:v>47.073320367622586</x:v>
      </x:c>
      <x:c r="AD36" s="8">
        <x:v>3</x:v>
      </x:c>
      <x:c r="AE36" t="s">
        <x:v>51</x:v>
      </x:c>
      <x:c r="AF36" t="s">
        <x:v>43</x:v>
      </x:c>
      <x:c r="AG36" t="s">
        <x:v>44</x:v>
      </x:c>
      <x:c r="AH36" t="s">
        <x:v>43</x:v>
      </x:c>
      <x:c r="AJ36" s="29" t="s">
        <x:v>137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8.7109375" defaultRowHeight="20"/>
  <x:cols>
    <x:col min="1" max="1" width="14" hidden="0" customWidth="1"/>
    <x:col min="2" max="2" width="1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0" hidden="0" customWidth="1"/>
    <x:col min="10" max="10" width="20" hidden="0" customWidth="1"/>
    <x:col min="11" max="11" width="20" hidden="0" customWidth="1"/>
    <x:col min="12" max="12" width="22" hidden="0" customWidth="1"/>
    <x:col min="13" max="13" width="80" hidden="0" customWidth="1"/>
  </x:cols>
  <x:sheetData>
    <x:row r="1" ht="42">
      <x:c r="A1" s="58" t="str">
        <x:v>fish_code</x:v>
      </x:c>
      <x:c r="B1" s="58" t="str">
        <x:v>experimental_condition</x:v>
      </x:c>
      <x:c r="C1" s="58" t="str">
        <x:v>original_uopt_value_from_Uopt&amp;Ucrit</x:v>
      </x:c>
      <x:c r="D1" s="58" t="str">
        <x:v>original_ucrit_m_s_from_Uopt&amp;Ucrit</x:v>
      </x:c>
      <x:c r="E1" s="58" t="str">
        <x:v>discrete_uopt_m_s_used_in_Table_S2</x:v>
      </x:c>
      <x:c r="F1" s="58" t="str">
        <x:v>discrete_mincot_mg_o2_kg_km</x:v>
      </x:c>
      <x:c r="G1" s="58" t="str">
        <x:v>mo2_at_discrete_uopt_mg_o2_kg_h</x:v>
      </x:c>
      <x:c r="H1" s="58" t="str">
        <x:v>mo2_at_0_1_m_s_mg_o2_kg_h</x:v>
      </x:c>
      <x:c r="I1" s="58" t="str">
        <x:v>n_active_speed_steps</x:v>
      </x:c>
      <x:c r="J1" s="58" t="str">
        <x:v>uopt_position_flag</x:v>
      </x:c>
      <x:c r="K1" s="58" t="str">
        <x:v>active_metrics_status</x:v>
      </x:c>
      <x:c r="L1" s="58" t="str">
        <x:v>ucrit_reconstruction_status</x:v>
      </x:c>
      <x:c r="M1" s="58" t="str">
        <x:v>derivation_note</x:v>
      </x:c>
    </x:row>
    <x:row r="2">
      <x:c r="A2" t="str">
        <x:v>Eel 1</x:v>
      </x:c>
      <x:c r="B2" t="str">
        <x:v>FW25</x:v>
      </x:c>
      <x:c r="C2" t="n">
        <x:v>0.71</x:v>
      </x:c>
      <x:c r="D2" t="n">
        <x:v>0.51</x:v>
      </x:c>
      <x:c r="E2" t="n">
        <x:v>0.5</x:v>
      </x:c>
      <x:c r="F2" t="n">
        <x:v>45.906832426832445</x:v>
      </x:c>
      <x:c r="G2" t="n">
        <x:v>82.63229836829841</x:v>
      </x:c>
      <x:c r="H2" t="n">
        <x:v>64.27306439393912</x:v>
      </x:c>
      <x:c r="I2" t="n">
        <x:v>2</x:v>
      </x:c>
      <x:c r="J2" t="str">
        <x:v>highest_observed_speed</x:v>
      </x:c>
      <x:c r="K2" t="str">
        <x:v>boundary_estimate</x:v>
      </x:c>
      <x:c r="L2" t="str">
        <x:v>valid</x:v>
      </x:c>
      <x:c r="M2" t="str">
        <x:v>Uopt/minCOT/MO2_at_uopt were derived from the observed active-speed COT minimum in the MO2/COT sheets; original Uopt&amp;Ucrit Uopt values are shown for comparison.</x:v>
      </x:c>
    </x:row>
    <x:row r="3">
      <x:c r="A3" t="str">
        <x:v>Eel 2</x:v>
      </x:c>
      <x:c r="B3" t="str">
        <x:v>FW25</x:v>
      </x:c>
      <x:c r="C3" t="n">
        <x:v>0.44</x:v>
      </x:c>
      <x:c r="D3" t="n">
        <x:v>0.51</x:v>
      </x:c>
      <x:c r="E3" t="n">
        <x:v>0.5</x:v>
      </x:c>
      <x:c r="F3" t="n">
        <x:v>48.55484156912564</x:v>
      </x:c>
      <x:c r="G3" t="n">
        <x:v>87.39871482442616</x:v>
      </x:c>
      <x:c r="H3" t="n">
        <x:v>69.57413582990155</x:v>
      </x:c>
      <x:c r="I3" t="n">
        <x:v>2</x:v>
      </x:c>
      <x:c r="J3" t="str">
        <x:v>highest_observed_speed</x:v>
      </x:c>
      <x:c r="K3" t="str">
        <x:v>boundary_estimate</x:v>
      </x:c>
      <x:c r="L3" t="str">
        <x:v>valid</x:v>
      </x:c>
      <x:c r="M3" t="str">
        <x:v>Uopt/minCOT/MO2_at_uopt were derived from the observed active-speed COT minimum in the MO2/COT sheets; original Uopt&amp;Ucrit Uopt values are shown for comparison.</x:v>
      </x:c>
    </x:row>
    <x:row r="4">
      <x:c r="A4" t="str">
        <x:v>Eel 3</x:v>
      </x:c>
      <x:c r="B4" t="str">
        <x:v>FW25</x:v>
      </x:c>
      <x:c r="C4" t="n">
        <x:v>0.59</x:v>
      </x:c>
      <x:c r="D4" t="n">
        <x:v>0.51</x:v>
      </x:c>
      <x:c r="E4" t="n">
        <x:v>0.4</x:v>
      </x:c>
      <x:c r="F4" t="n">
        <x:v>53.521699746666656</x:v>
      </x:c>
      <x:c r="G4" t="n">
        <x:v>77.0712476352</x:v>
      </x:c>
      <x:c r="H4" t="n">
        <x:v>81.45024918960108</x:v>
      </x:c>
      <x:c r="I4" t="n">
        <x:v>2</x:v>
      </x:c>
      <x:c r="J4" t="str">
        <x:v>lowest_active_speed</x:v>
      </x:c>
      <x:c r="K4" t="str">
        <x:v>boundary_estimate</x:v>
      </x:c>
      <x:c r="L4" t="str">
        <x:v>valid</x:v>
      </x:c>
      <x:c r="M4" t="str">
        <x:v>Uopt/minCOT/MO2_at_uopt were derived from the observed active-speed COT minimum in the MO2/COT sheets; original Uopt&amp;Ucrit Uopt values are shown for comparison.</x:v>
      </x:c>
    </x:row>
    <x:row r="5">
      <x:c r="A5" t="str">
        <x:v>Eel 4</x:v>
      </x:c>
      <x:c r="B5" t="str">
        <x:v>FW25</x:v>
      </x:c>
      <x:c r="C5" t="str">
        <x:v>&lt;0.4</x:v>
      </x:c>
      <x:c r="D5" t="n">
        <x:v>0.4</x:v>
      </x:c>
      <x:c r="E5" t="n">
        <x:v>0.4</x:v>
      </x:c>
      <x:c r="F5" t="n">
        <x:v>65.9357968009477</x:v>
      </x:c>
      <x:c r="G5" t="n">
        <x:v>94.9475473933647</x:v>
      </x:c>
      <x:c r="H5" t="n">
        <x:v>52.87729265402807</x:v>
      </x:c>
      <x:c r="I5" t="n">
        <x:v>1</x:v>
      </x:c>
      <x:c r="J5" t="str">
        <x:v>single_active_point</x:v>
      </x:c>
      <x:c r="K5" t="str">
        <x:v>single_active_point</x:v>
      </x:c>
      <x:c r="L5" t="str">
        <x:v>boundary_ambiguous</x:v>
      </x:c>
      <x:c r="M5" t="str">
        <x:v>Uopt/minCOT/MO2_at_uopt were derived from the observed active-speed COT minimum in the MO2/COT sheets; original Uopt&amp;Ucrit Uopt values are shown for comparison.</x:v>
      </x:c>
    </x:row>
    <x:row r="6">
      <x:c r="A6" t="str">
        <x:v>Eel 5</x:v>
      </x:c>
      <x:c r="B6" t="str">
        <x:v>FW25</x:v>
      </x:c>
      <x:c r="C6" t="n">
        <x:v>0.59</x:v>
      </x:c>
      <x:c r="D6" t="n">
        <x:v>0.61</x:v>
      </x:c>
      <x:c r="E6" t="n">
        <x:v>0.6</x:v>
      </x:c>
      <x:c r="F6" t="n">
        <x:v>43.6173406862745</x:v>
      </x:c>
      <x:c r="G6" t="n">
        <x:v>94.21345588235293</x:v>
      </x:c>
      <x:c r="H6" t="n">
        <x:v>51.897242647058725</x:v>
      </x:c>
      <x:c r="I6" t="n">
        <x:v>3</x:v>
      </x:c>
      <x:c r="J6" t="str">
        <x:v>highest_observed_speed</x:v>
      </x:c>
      <x:c r="K6" t="str">
        <x:v>boundary_estimate</x:v>
      </x:c>
      <x:c r="L6" t="str">
        <x:v>valid</x:v>
      </x:c>
      <x:c r="M6" t="str">
        <x:v>Uopt/minCOT/MO2_at_uopt were derived from the observed active-speed COT minimum in the MO2/COT sheets; original Uopt&amp;Ucrit Uopt values are shown for comparison.</x:v>
      </x:c>
    </x:row>
    <x:row r="7">
      <x:c r="A7" t="str">
        <x:v>Eel 6</x:v>
      </x:c>
      <x:c r="B7" t="str">
        <x:v>FW25</x:v>
      </x:c>
      <x:c r="C7" t="n">
        <x:v>0.64</x:v>
      </x:c>
      <x:c r="D7" t="n">
        <x:v>0.4975</x:v>
      </x:c>
      <x:c r="E7" t="n">
        <x:v>0.5</x:v>
      </x:c>
      <x:c r="F7" t="n">
        <x:v>59.69647528264242</x:v>
      </x:c>
      <x:c r="G7" t="n">
        <x:v>107.45365550875636</x:v>
      </x:c>
      <x:c r="H7" t="n">
        <x:v>50.459167867435305</x:v>
      </x:c>
      <x:c r="I7" t="n">
        <x:v>2</x:v>
      </x:c>
      <x:c r="J7" t="str">
        <x:v>highest_observed_speed</x:v>
      </x:c>
      <x:c r="K7" t="str">
        <x:v>boundary_estimate</x:v>
      </x:c>
      <x:c r="L7" t="str">
        <x:v>valid</x:v>
      </x:c>
      <x:c r="M7" t="str">
        <x:v>Uopt/minCOT/MO2_at_uopt were derived from the observed active-speed COT minimum in the MO2/COT sheets; original Uopt&amp;Ucrit Uopt values are shown for comparison.</x:v>
      </x:c>
    </x:row>
    <x:row r="8">
      <x:c r="A8" t="str">
        <x:v>Eel 7</x:v>
      </x:c>
      <x:c r="B8" t="str">
        <x:v>FW25</x:v>
      </x:c>
      <x:c r="C8" t="n">
        <x:v>0.8</x:v>
      </x:c>
      <x:c r="D8" t="n">
        <x:v>1.405</x:v>
      </x:c>
      <x:c r="E8" t="n">
        <x:v>0.8</x:v>
      </x:c>
      <x:c r="F8" t="n">
        <x:v>35.35413559941525</x:v>
      </x:c>
      <x:c r="G8" t="n">
        <x:v>101.81991052631594</x:v>
      </x:c>
      <x:c r="H8" t="n">
        <x:v>43.230800000000094</x:v>
      </x:c>
      <x:c r="I8" t="n">
        <x:v>10</x:v>
      </x:c>
      <x:c r="J8" t="str">
        <x:v>interior_minimum</x:v>
      </x:c>
      <x:c r="K8" t="str">
        <x:v>valid</x:v>
      </x:c>
      <x:c r="L8" t="str">
        <x:v>valid</x:v>
      </x:c>
      <x:c r="M8" t="str">
        <x:v>Uopt/minCOT/MO2_at_uopt were derived from the observed active-speed COT minimum in the MO2/COT sheets; original Uopt&amp;Ucrit Uopt values are shown for comparison.</x:v>
      </x:c>
    </x:row>
    <x:row r="9">
      <x:c r="A9" t="str">
        <x:v>Eel 8</x:v>
      </x:c>
      <x:c r="B9" t="str">
        <x:v>FW25</x:v>
      </x:c>
      <x:c r="C9" t="n">
        <x:v>0.48</x:v>
      </x:c>
      <x:c r="D9" t="n">
        <x:v>0.64</x:v>
      </x:c>
      <x:c r="E9" t="n">
        <x:v>0.4</x:v>
      </x:c>
      <x:c r="F9" t="n">
        <x:v>48.53396214677416</x:v>
      </x:c>
      <x:c r="G9" t="n">
        <x:v>69.88890549135479</x:v>
      </x:c>
      <x:c r="H9" t="n">
        <x:v>62.066655736490375</x:v>
      </x:c>
      <x:c r="I9" t="n">
        <x:v>3</x:v>
      </x:c>
      <x:c r="J9" t="str">
        <x:v>lowest_active_speed</x:v>
      </x:c>
      <x:c r="K9" t="str">
        <x:v>boundary_estimate</x:v>
      </x:c>
      <x:c r="L9" t="str">
        <x:v>valid</x:v>
      </x:c>
      <x:c r="M9" t="str">
        <x:v>Uopt/minCOT/MO2_at_uopt were derived from the observed active-speed COT minimum in the MO2/COT sheets; original Uopt&amp;Ucrit Uopt values are shown for comparison.</x:v>
      </x:c>
    </x:row>
    <x:row r="10">
      <x:c r="A10" t="str">
        <x:v>Eel 9</x:v>
      </x:c>
      <x:c r="B10" t="str">
        <x:v>FW25</x:v>
      </x:c>
      <x:c r="C10" t="str">
        <x:v>&lt;0.4</x:v>
      </x:c>
      <x:c r="D10" t="n">
        <x:v>0.725</x:v>
      </x:c>
      <x:c r="E10"/>
      <x:c r="F10"/>
      <x:c r="G10"/>
      <x:c r="H10"/>
      <x:c r="I10" t="n">
        <x:v>0</x:v>
      </x:c>
      <x:c r="J10" t="str">
        <x:v>not_estimable</x:v>
      </x:c>
      <x:c r="K10" t="str">
        <x:v>not_estimable</x:v>
      </x:c>
      <x:c r="L10" t="str">
        <x:v>valid</x:v>
      </x:c>
      <x:c r="M10" t="str">
        <x:v>Uopt/minCOT/MO2_at_uopt were derived from the observed active-speed COT minimum in the MO2/COT sheets; original Uopt&amp;Ucrit Uopt values are shown for comparison.</x:v>
      </x:c>
    </x:row>
    <x:row r="11">
      <x:c r="A11" t="str">
        <x:v>Eel 10</x:v>
      </x:c>
      <x:c r="B11" t="str">
        <x:v>FW25</x:v>
      </x:c>
      <x:c r="C11" t="n">
        <x:v>0.74</x:v>
      </x:c>
      <x:c r="D11" t="n">
        <x:v>1.055</x:v>
      </x:c>
      <x:c r="E11" t="n">
        <x:v>0.7</x:v>
      </x:c>
      <x:c r="F11" t="n">
        <x:v>31.22412008281574</x:v>
      </x:c>
      <x:c r="G11" t="n">
        <x:v>78.68478260869567</x:v>
      </x:c>
      <x:c r="H11" t="n">
        <x:v>44.65361413043471</x:v>
      </x:c>
      <x:c r="I11" t="n">
        <x:v>7</x:v>
      </x:c>
      <x:c r="J11" t="str">
        <x:v>interior_minimum</x:v>
      </x:c>
      <x:c r="K11" t="str">
        <x:v>valid</x:v>
      </x:c>
      <x:c r="L11" t="str">
        <x:v>valid</x:v>
      </x:c>
      <x:c r="M11" t="str">
        <x:v>Uopt/minCOT/MO2_at_uopt were derived from the observed active-speed COT minimum in the MO2/COT sheets; original Uopt&amp;Ucrit Uopt values are shown for comparison.</x:v>
      </x:c>
    </x:row>
    <x:row r="12">
      <x:c r="A12" t="str">
        <x:v>Eel 1</x:v>
      </x:c>
      <x:c r="B12" t="str">
        <x:v>FW18</x:v>
      </x:c>
      <x:c r="C12" t="str">
        <x:v>&lt;0.4</x:v>
      </x:c>
      <x:c r="D12" t="n">
        <x:v>0.41</x:v>
      </x:c>
      <x:c r="E12"/>
      <x:c r="F12"/>
      <x:c r="G12"/>
      <x:c r="H12" t="n">
        <x:v>35.35133507454619</x:v>
      </x:c>
      <x:c r="I12" t="n">
        <x:v>0</x:v>
      </x:c>
      <x:c r="J12" t="str">
        <x:v>not_estimable</x:v>
      </x:c>
      <x:c r="K12" t="str">
        <x:v>not_estimable</x:v>
      </x:c>
      <x:c r="L12" t="str">
        <x:v>valid</x:v>
      </x:c>
      <x:c r="M12" t="str">
        <x:v>Uopt/minCOT/MO2_at_uopt were derived from the observed active-speed COT minimum in the MO2/COT sheets; original Uopt&amp;Ucrit Uopt values are shown for comparison.</x:v>
      </x:c>
    </x:row>
    <x:row r="13">
      <x:c r="A13" t="str">
        <x:v>Eel 2</x:v>
      </x:c>
      <x:c r="B13" t="str">
        <x:v>FW18</x:v>
      </x:c>
      <x:c r="C13" t="n">
        <x:v>0.58</x:v>
      </x:c>
      <x:c r="D13" t="n">
        <x:v>0.74</x:v>
      </x:c>
      <x:c r="E13" t="n">
        <x:v>0.5</x:v>
      </x:c>
      <x:c r="F13" t="n">
        <x:v>25.399743640436938</x:v>
      </x:c>
      <x:c r="G13" t="n">
        <x:v>45.71953855278649</x:v>
      </x:c>
      <x:c r="H13" t="n">
        <x:v>96.9445468426231</x:v>
      </x:c>
      <x:c r="I13" t="n">
        <x:v>4</x:v>
      </x:c>
      <x:c r="J13" t="str">
        <x:v>interior_minimum</x:v>
      </x:c>
      <x:c r="K13" t="str">
        <x:v>valid</x:v>
      </x:c>
      <x:c r="L13" t="str">
        <x:v>valid</x:v>
      </x:c>
      <x:c r="M13" t="str">
        <x:v>Uopt/minCOT/MO2_at_uopt were derived from the observed active-speed COT minimum in the MO2/COT sheets; original Uopt&amp;Ucrit Uopt values are shown for comparison.</x:v>
      </x:c>
    </x:row>
    <x:row r="14">
      <x:c r="A14" t="str">
        <x:v>Eel 3</x:v>
      </x:c>
      <x:c r="B14" t="str">
        <x:v>FW18</x:v>
      </x:c>
      <x:c r="C14" t="str">
        <x:v>&lt;0.4</x:v>
      </x:c>
      <x:c r="D14" t="n">
        <x:v>0.4</x:v>
      </x:c>
      <x:c r="E14"/>
      <x:c r="F14"/>
      <x:c r="G14"/>
      <x:c r="H14" t="n">
        <x:v>30.85</x:v>
      </x:c>
      <x:c r="I14" t="n">
        <x:v>0</x:v>
      </x:c>
      <x:c r="J14" t="str">
        <x:v>not_estimable</x:v>
      </x:c>
      <x:c r="K14" t="str">
        <x:v>not_estimable</x:v>
      </x:c>
      <x:c r="L14" t="str">
        <x:v>boundary_ambiguous</x:v>
      </x:c>
      <x:c r="M14" t="str">
        <x:v>Uopt/minCOT/MO2_at_uopt were derived from the observed active-speed COT minimum in the MO2/COT sheets; original Uopt&amp;Ucrit Uopt values are shown for comparison.</x:v>
      </x:c>
    </x:row>
    <x:row r="15">
      <x:c r="A15" t="str">
        <x:v>Eel 4</x:v>
      </x:c>
      <x:c r="B15" t="str">
        <x:v>FW18</x:v>
      </x:c>
      <x:c r="C15" t="str">
        <x:v>&lt;0.4</x:v>
      </x:c>
      <x:c r="D15" t="n">
        <x:v>0.32</x:v>
      </x:c>
      <x:c r="E15"/>
      <x:c r="F15"/>
      <x:c r="G15"/>
      <x:c r="H15" t="n">
        <x:v>39.12518598824654</x:v>
      </x:c>
      <x:c r="I15" t="n">
        <x:v>0</x:v>
      </x:c>
      <x:c r="J15" t="str">
        <x:v>not_estimable</x:v>
      </x:c>
      <x:c r="K15" t="str">
        <x:v>not_estimable</x:v>
      </x:c>
      <x:c r="L15" t="str">
        <x:v>protocol_check</x:v>
      </x:c>
      <x:c r="M15" t="str">
        <x:v>Uopt/minCOT/MO2_at_uopt were derived from the observed active-speed COT minimum in the MO2/COT sheets; original Uopt&amp;Ucrit Uopt values are shown for comparison.</x:v>
      </x:c>
    </x:row>
    <x:row r="16">
      <x:c r="A16" t="str">
        <x:v>Eel 5</x:v>
      </x:c>
      <x:c r="B16" t="str">
        <x:v>FW18</x:v>
      </x:c>
      <x:c r="C16" t="n">
        <x:v>0.78</x:v>
      </x:c>
      <x:c r="D16" t="n">
        <x:v>1.0333</x:v>
      </x:c>
      <x:c r="E16" t="n">
        <x:v>0.8</x:v>
      </x:c>
      <x:c r="F16" t="n">
        <x:v>14.553563677083371</x:v>
      </x:c>
      <x:c r="G16" t="n">
        <x:v>41.914263390000116</x:v>
      </x:c>
      <x:c r="H16" t="n">
        <x:v>50.83442420911798</x:v>
      </x:c>
      <x:c r="I16" t="n">
        <x:v>7</x:v>
      </x:c>
      <x:c r="J16" t="str">
        <x:v>interior_minimum</x:v>
      </x:c>
      <x:c r="K16" t="str">
        <x:v>valid</x:v>
      </x:c>
      <x:c r="L16" t="str">
        <x:v>valid</x:v>
      </x:c>
      <x:c r="M16" t="str">
        <x:v>Uopt/minCOT/MO2_at_uopt were derived from the observed active-speed COT minimum in the MO2/COT sheets; original Uopt&amp;Ucrit Uopt values are shown for comparison.</x:v>
      </x:c>
    </x:row>
    <x:row r="17">
      <x:c r="A17" t="str">
        <x:v>Eel 6</x:v>
      </x:c>
      <x:c r="B17" t="str">
        <x:v>FW18</x:v>
      </x:c>
      <x:c r="C17" t="str">
        <x:v>&lt;0.4</x:v>
      </x:c>
      <x:c r="D17" t="n">
        <x:v>0.32</x:v>
      </x:c>
      <x:c r="E17"/>
      <x:c r="F17"/>
      <x:c r="G17"/>
      <x:c r="H17" t="n">
        <x:v>29.44</x:v>
      </x:c>
      <x:c r="I17" t="n">
        <x:v>0</x:v>
      </x:c>
      <x:c r="J17" t="str">
        <x:v>not_estimable</x:v>
      </x:c>
      <x:c r="K17" t="str">
        <x:v>not_estimable</x:v>
      </x:c>
      <x:c r="L17" t="str">
        <x:v>protocol_check</x:v>
      </x:c>
      <x:c r="M17" t="str">
        <x:v>Uopt/minCOT/MO2_at_uopt were derived from the observed active-speed COT minimum in the MO2/COT sheets; original Uopt&amp;Ucrit Uopt values are shown for comparison.</x:v>
      </x:c>
    </x:row>
    <x:row r="18">
      <x:c r="A18" t="str">
        <x:v>Eel 7</x:v>
      </x:c>
      <x:c r="B18" t="str">
        <x:v>FW18</x:v>
      </x:c>
      <x:c r="C18" t="str">
        <x:v>&lt;0.4</x:v>
      </x:c>
      <x:c r="D18" t="n">
        <x:v>0.34</x:v>
      </x:c>
      <x:c r="E18"/>
      <x:c r="F18"/>
      <x:c r="G18"/>
      <x:c r="H18" t="n">
        <x:v>24.35</x:v>
      </x:c>
      <x:c r="I18" t="n">
        <x:v>0</x:v>
      </x:c>
      <x:c r="J18" t="str">
        <x:v>not_estimable</x:v>
      </x:c>
      <x:c r="K18" t="str">
        <x:v>not_estimable</x:v>
      </x:c>
      <x:c r="L18" t="str">
        <x:v>protocol_check</x:v>
      </x:c>
      <x:c r="M18" t="str">
        <x:v>Uopt/minCOT/MO2_at_uopt were derived from the observed active-speed COT minimum in the MO2/COT sheets; original Uopt&amp;Ucrit Uopt values are shown for comparison.</x:v>
      </x:c>
    </x:row>
    <x:row r="19">
      <x:c r="A19" t="str">
        <x:v>Eel 8</x:v>
      </x:c>
      <x:c r="B19" t="str">
        <x:v>FW18</x:v>
      </x:c>
      <x:c r="C19" t="str">
        <x:v>&lt;0.4</x:v>
      </x:c>
      <x:c r="D19" t="n">
        <x:v>0.43</x:v>
      </x:c>
      <x:c r="E19" t="n">
        <x:v>0.4</x:v>
      </x:c>
      <x:c r="F19" t="n">
        <x:v>23.888888888888886</x:v>
      </x:c>
      <x:c r="G19" t="n">
        <x:v>34.4</x:v>
      </x:c>
      <x:c r="H19" t="n">
        <x:v>36.53</x:v>
      </x:c>
      <x:c r="I19" t="n">
        <x:v>1</x:v>
      </x:c>
      <x:c r="J19" t="str">
        <x:v>single_active_point</x:v>
      </x:c>
      <x:c r="K19" t="str">
        <x:v>single_active_point</x:v>
      </x:c>
      <x:c r="L19" t="str">
        <x:v>valid</x:v>
      </x:c>
      <x:c r="M19" t="str">
        <x:v>Uopt/minCOT/MO2_at_uopt were derived from the observed active-speed COT minimum in the MO2/COT sheets; original Uopt&amp;Ucrit Uopt values are shown for comparison.</x:v>
      </x:c>
    </x:row>
    <x:row r="20">
      <x:c r="A20" t="str">
        <x:v>Eel 9</x:v>
      </x:c>
      <x:c r="B20" t="str">
        <x:v>FW18</x:v>
      </x:c>
      <x:c r="C20" t="str">
        <x:v>&lt;0.4</x:v>
      </x:c>
      <x:c r="D20" t="n">
        <x:v>0.32</x:v>
      </x:c>
      <x:c r="E20"/>
      <x:c r="F20"/>
      <x:c r="G20"/>
      <x:c r="H20" t="n">
        <x:v>30.35523773999966</x:v>
      </x:c>
      <x:c r="I20" t="n">
        <x:v>0</x:v>
      </x:c>
      <x:c r="J20" t="str">
        <x:v>not_estimable</x:v>
      </x:c>
      <x:c r="K20" t="str">
        <x:v>not_estimable</x:v>
      </x:c>
      <x:c r="L20" t="str">
        <x:v>protocol_check</x:v>
      </x:c>
      <x:c r="M20" t="str">
        <x:v>Uopt/minCOT/MO2_at_uopt were derived from the observed active-speed COT minimum in the MO2/COT sheets; original Uopt&amp;Ucrit Uopt values are shown for comparison.</x:v>
      </x:c>
    </x:row>
    <x:row r="21">
      <x:c r="A21" t="str">
        <x:v>Eel 10</x:v>
      </x:c>
      <x:c r="B21" t="str">
        <x:v>FW18</x:v>
      </x:c>
      <x:c r="C21" t="n">
        <x:v>0.67</x:v>
      </x:c>
      <x:c r="D21" t="n">
        <x:v>0.9175</x:v>
      </x:c>
      <x:c r="E21" t="n">
        <x:v>0.7</x:v>
      </x:c>
      <x:c r="F21" t="n">
        <x:v>14.009545118012397</x:v>
      </x:c>
      <x:c r="G21" t="n">
        <x:v>35.30405369739124</x:v>
      </x:c>
      <x:c r="H21" t="n">
        <x:v>38.97825800869543</x:v>
      </x:c>
      <x:c r="I21" t="n">
        <x:v>6</x:v>
      </x:c>
      <x:c r="J21" t="str">
        <x:v>interior_minimum</x:v>
      </x:c>
      <x:c r="K21" t="str">
        <x:v>valid</x:v>
      </x:c>
      <x:c r="L21" t="str">
        <x:v>valid</x:v>
      </x:c>
      <x:c r="M21" t="str">
        <x:v>Uopt/minCOT/MO2_at_uopt were derived from the observed active-speed COT minimum in the MO2/COT sheets; original Uopt&amp;Ucrit Uopt values are shown for comparison.</x:v>
      </x:c>
    </x:row>
    <x:row r="22">
      <x:c r="A22" t="str">
        <x:v>Eel 11</x:v>
      </x:c>
      <x:c r="B22" t="str">
        <x:v>SW18</x:v>
      </x:c>
      <x:c r="C22" t="str">
        <x:v>&lt;0.4</x:v>
      </x:c>
      <x:c r="D22"/>
      <x:c r="E22"/>
      <x:c r="F22"/>
      <x:c r="G22"/>
      <x:c r="H22"/>
      <x:c r="I22" t="n">
        <x:v>0</x:v>
      </x:c>
      <x:c r="J22" t="str">
        <x:v>not_estimable</x:v>
      </x:c>
      <x:c r="K22" t="str">
        <x:v>not_estimable</x:v>
      </x:c>
      <x:c r="L22" t="str">
        <x:v>not_estimable</x:v>
      </x:c>
      <x:c r="M22" t="str">
        <x:v>Uopt/minCOT/MO2_at_uopt were derived from the observed active-speed COT minimum in the MO2/COT sheets; original Uopt&amp;Ucrit Uopt values are shown for comparison.</x:v>
      </x:c>
    </x:row>
    <x:row r="23">
      <x:c r="A23" t="str">
        <x:v>Eel 12</x:v>
      </x:c>
      <x:c r="B23" t="str">
        <x:v>SW18</x:v>
      </x:c>
      <x:c r="C23" t="n">
        <x:v>0.66</x:v>
      </x:c>
      <x:c r="D23" t="n">
        <x:v>0.8500000000000001</x:v>
      </x:c>
      <x:c r="E23" t="n">
        <x:v>0.5</x:v>
      </x:c>
      <x:c r="F23" t="n">
        <x:v>54.324749207966356</x:v>
      </x:c>
      <x:c r="G23" t="n">
        <x:v>97.78454857433944</x:v>
      </x:c>
      <x:c r="H23" t="n">
        <x:v>41.65297425795253</x:v>
      </x:c>
      <x:c r="I23" t="n">
        <x:v>5</x:v>
      </x:c>
      <x:c r="J23" t="str">
        <x:v>interior_minimum</x:v>
      </x:c>
      <x:c r="K23" t="str">
        <x:v>valid</x:v>
      </x:c>
      <x:c r="L23" t="str">
        <x:v>valid</x:v>
      </x:c>
      <x:c r="M23" t="str">
        <x:v>Uopt/minCOT/MO2_at_uopt were derived from the observed active-speed COT minimum in the MO2/COT sheets; original Uopt&amp;Ucrit Uopt values are shown for comparison.</x:v>
      </x:c>
    </x:row>
    <x:row r="24">
      <x:c r="A24" t="str">
        <x:v>Eel 13</x:v>
      </x:c>
      <x:c r="B24" t="str">
        <x:v>SW18</x:v>
      </x:c>
      <x:c r="C24" t="n">
        <x:v>0.6</x:v>
      </x:c>
      <x:c r="D24" t="n">
        <x:v>0.8666666666666667</x:v>
      </x:c>
      <x:c r="E24" t="n">
        <x:v>0.6</x:v>
      </x:c>
      <x:c r="F24" t="n">
        <x:v>50.40420752030172</x:v>
      </x:c>
      <x:c r="G24" t="n">
        <x:v>108.87308824385171</x:v>
      </x:c>
      <x:c r="H24" t="n">
        <x:v>59.325434904988334</x:v>
      </x:c>
      <x:c r="I24" t="n">
        <x:v>3</x:v>
      </x:c>
      <x:c r="J24" t="str">
        <x:v>highest_observed_speed</x:v>
      </x:c>
      <x:c r="K24" t="str">
        <x:v>boundary_estimate</x:v>
      </x:c>
      <x:c r="L24" t="str">
        <x:v>valid</x:v>
      </x:c>
      <x:c r="M24" t="str">
        <x:v>Uopt/minCOT/MO2_at_uopt were derived from the observed active-speed COT minimum in the MO2/COT sheets; original Uopt&amp;Ucrit Uopt values are shown for comparison.</x:v>
      </x:c>
    </x:row>
    <x:row r="25">
      <x:c r="A25" t="str">
        <x:v>Eel 14</x:v>
      </x:c>
      <x:c r="B25" t="str">
        <x:v>SW18</x:v>
      </x:c>
      <x:c r="C25" t="n">
        <x:v>0.52</x:v>
      </x:c>
      <x:c r="D25" t="n">
        <x:v>0.625</x:v>
      </x:c>
      <x:c r="E25" t="n">
        <x:v>0.4</x:v>
      </x:c>
      <x:c r="F25" t="n">
        <x:v>45.167619093837054</x:v>
      </x:c>
      <x:c r="G25" t="n">
        <x:v>65.04137149512536</x:v>
      </x:c>
      <x:c r="H25" t="n">
        <x:v>48.33594207325913</x:v>
      </x:c>
      <x:c r="I25" t="n">
        <x:v>3</x:v>
      </x:c>
      <x:c r="J25" t="str">
        <x:v>lowest_active_speed</x:v>
      </x:c>
      <x:c r="K25" t="str">
        <x:v>boundary_estimate</x:v>
      </x:c>
      <x:c r="L25" t="str">
        <x:v>valid</x:v>
      </x:c>
      <x:c r="M25" t="str">
        <x:v>Uopt/minCOT/MO2_at_uopt were derived from the observed active-speed COT minimum in the MO2/COT sheets; original Uopt&amp;Ucrit Uopt values are shown for comparison.</x:v>
      </x:c>
    </x:row>
    <x:row r="26">
      <x:c r="A26" t="str">
        <x:v>Eel 15</x:v>
      </x:c>
      <x:c r="B26" t="str">
        <x:v>SW18</x:v>
      </x:c>
      <x:c r="C26" t="n">
        <x:v>0.49</x:v>
      </x:c>
      <x:c r="D26" t="n">
        <x:v>0.6</x:v>
      </x:c>
      <x:c r="E26" t="n">
        <x:v>0.4</x:v>
      </x:c>
      <x:c r="F26" t="n">
        <x:v>55.098437677489564</x:v>
      </x:c>
      <x:c r="G26" t="n">
        <x:v>79.34175025558498</x:v>
      </x:c>
      <x:c r="H26" t="n">
        <x:v>66.98648729820337</x:v>
      </x:c>
      <x:c r="I26" t="n">
        <x:v>3</x:v>
      </x:c>
      <x:c r="J26" t="str">
        <x:v>lowest_active_speed</x:v>
      </x:c>
      <x:c r="K26" t="str">
        <x:v>boundary_estimate</x:v>
      </x:c>
      <x:c r="L26" t="str">
        <x:v>boundary_ambiguous</x:v>
      </x:c>
      <x:c r="M26" t="str">
        <x:v>Uopt/minCOT/MO2_at_uopt were derived from the observed active-speed COT minimum in the MO2/COT sheets; original Uopt&amp;Ucrit Uopt values are shown for comparison.</x:v>
      </x:c>
    </x:row>
    <x:row r="27">
      <x:c r="A27" t="str">
        <x:v>Eel 16</x:v>
      </x:c>
      <x:c r="B27" t="str">
        <x:v>SW18</x:v>
      </x:c>
      <x:c r="C27" t="n">
        <x:v>0.42</x:v>
      </x:c>
      <x:c r="D27" t="n">
        <x:v>1.0041666666666667</x:v>
      </x:c>
      <x:c r="E27" t="n">
        <x:v>0.5</x:v>
      </x:c>
      <x:c r="F27" t="n">
        <x:v>46.823101706710176</x:v>
      </x:c>
      <x:c r="G27" t="n">
        <x:v>84.28158307207832</x:v>
      </x:c>
      <x:c r="H27" t="n">
        <x:v>61.19018093755778</x:v>
      </x:c>
      <x:c r="I27" t="n">
        <x:v>6</x:v>
      </x:c>
      <x:c r="J27" t="str">
        <x:v>interior_minimum</x:v>
      </x:c>
      <x:c r="K27" t="str">
        <x:v>valid</x:v>
      </x:c>
      <x:c r="L27" t="str">
        <x:v>valid</x:v>
      </x:c>
      <x:c r="M27" t="str">
        <x:v>Uopt/minCOT/MO2_at_uopt were derived from the observed active-speed COT minimum in the MO2/COT sheets; original Uopt&amp;Ucrit Uopt values are shown for comparison.</x:v>
      </x:c>
    </x:row>
    <x:row r="28">
      <x:c r="A28" t="str">
        <x:v>Eel 17</x:v>
      </x:c>
      <x:c r="B28" t="str">
        <x:v>SW18</x:v>
      </x:c>
      <x:c r="C28" t="n">
        <x:v>0.59</x:v>
      </x:c>
      <x:c r="D28" t="n">
        <x:v>0.8250000000000001</x:v>
      </x:c>
      <x:c r="E28" t="n">
        <x:v>0.5</x:v>
      </x:c>
      <x:c r="F28" t="n">
        <x:v>58.75375228292684</x:v>
      </x:c>
      <x:c r="G28" t="n">
        <x:v>105.75675410926831</x:v>
      </x:c>
      <x:c r="H28" t="n">
        <x:v>68.09807774634166</x:v>
      </x:c>
      <x:c r="I28" t="n">
        <x:v>5</x:v>
      </x:c>
      <x:c r="J28" t="str">
        <x:v>interior_minimum</x:v>
      </x:c>
      <x:c r="K28" t="str">
        <x:v>valid</x:v>
      </x:c>
      <x:c r="L28" t="str">
        <x:v>valid</x:v>
      </x:c>
      <x:c r="M28" t="str">
        <x:v>Uopt/minCOT/MO2_at_uopt were derived from the observed active-speed COT minimum in the MO2/COT sheets; original Uopt&amp;Ucrit Uopt values are shown for comparison.</x:v>
      </x:c>
    </x:row>
    <x:row r="29">
      <x:c r="A29" t="str">
        <x:v>Eel 18</x:v>
      </x:c>
      <x:c r="B29" t="str">
        <x:v>SW18</x:v>
      </x:c>
      <x:c r="C29" t="n">
        <x:v>0.63</x:v>
      </x:c>
      <x:c r="D29" t="n">
        <x:v>0.9</x:v>
      </x:c>
      <x:c r="E29" t="n">
        <x:v>0.4</x:v>
      </x:c>
      <x:c r="F29" t="n">
        <x:v>55.228150101818116</x:v>
      </x:c>
      <x:c r="G29" t="n">
        <x:v>79.5285361466181</x:v>
      </x:c>
      <x:c r="H29" t="n">
        <x:v>41.50051084276363</x:v>
      </x:c>
      <x:c r="I29" t="n">
        <x:v>6</x:v>
      </x:c>
      <x:c r="J29" t="str">
        <x:v>lowest_active_speed</x:v>
      </x:c>
      <x:c r="K29" t="str">
        <x:v>boundary_estimate</x:v>
      </x:c>
      <x:c r="L29" t="str">
        <x:v>boundary_ambiguous</x:v>
      </x:c>
      <x:c r="M29" t="str">
        <x:v>Uopt/minCOT/MO2_at_uopt were derived from the observed active-speed COT minimum in the MO2/COT sheets; original Uopt&amp;Ucrit Uopt values are shown for comparison.</x:v>
      </x:c>
    </x:row>
    <x:row r="30">
      <x:c r="A30" t="str">
        <x:v>Eel 19</x:v>
      </x:c>
      <x:c r="B30" t="str">
        <x:v>SW18</x:v>
      </x:c>
      <x:c r="C30" t="n">
        <x:v>0.73</x:v>
      </x:c>
      <x:c r="D30" t="n">
        <x:v>0.9083333333333333</x:v>
      </x:c>
      <x:c r="E30" t="n">
        <x:v>0.8</x:v>
      </x:c>
      <x:c r="F30" t="n">
        <x:v>76.86257812294853</x:v>
      </x:c>
      <x:c r="G30" t="n">
        <x:v>221.36422499409178</x:v>
      </x:c>
      <x:c r="H30" t="n">
        <x:v>49.57642077321668</x:v>
      </x:c>
      <x:c r="I30" t="n">
        <x:v>6</x:v>
      </x:c>
      <x:c r="J30" t="str">
        <x:v>interior_minimum</x:v>
      </x:c>
      <x:c r="K30" t="str">
        <x:v>valid</x:v>
      </x:c>
      <x:c r="L30" t="str">
        <x:v>valid</x:v>
      </x:c>
      <x:c r="M30" t="str">
        <x:v>Uopt/minCOT/MO2_at_uopt were derived from the observed active-speed COT minimum in the MO2/COT sheets; original Uopt&amp;Ucrit Uopt values are shown for comparison.</x:v>
      </x:c>
    </x:row>
    <x:row r="31">
      <x:c r="A31" t="str">
        <x:v>Eel 20</x:v>
      </x:c>
      <x:c r="B31" t="str">
        <x:v>SW18</x:v>
      </x:c>
      <x:c r="C31" t="n">
        <x:v>0.57</x:v>
      </x:c>
      <x:c r="D31" t="n">
        <x:v>0.7250000000000001</x:v>
      </x:c>
      <x:c r="E31" t="n">
        <x:v>0.6</x:v>
      </x:c>
      <x:c r="F31" t="n">
        <x:v>45.2423744216867</x:v>
      </x:c>
      <x:c r="G31" t="n">
        <x:v>97.72352875084327</x:v>
      </x:c>
      <x:c r="H31" t="n">
        <x:v>41.979622976024146</x:v>
      </x:c>
      <x:c r="I31" t="n">
        <x:v>4</x:v>
      </x:c>
      <x:c r="J31" t="str">
        <x:v>interior_minimum</x:v>
      </x:c>
      <x:c r="K31" t="str">
        <x:v>valid</x:v>
      </x:c>
      <x:c r="L31" t="str">
        <x:v>valid</x:v>
      </x:c>
      <x:c r="M31" t="str">
        <x:v>Uopt/minCOT/MO2_at_uopt were derived from the observed active-speed COT minimum in the MO2/COT sheets; original Uopt&amp;Ucrit Uopt values are shown for comparison.</x:v>
      </x:c>
    </x:row>
    <x:row r="32">
      <x:c r="A32" t="str">
        <x:v>Eel 21</x:v>
      </x:c>
      <x:c r="B32" t="str">
        <x:v>SW18</x:v>
      </x:c>
      <x:c r="C32" t="n">
        <x:v>0.61</x:v>
      </x:c>
      <x:c r="D32" t="n">
        <x:v>0.9083333333333333</x:v>
      </x:c>
      <x:c r="E32" t="n">
        <x:v>0.6</x:v>
      </x:c>
      <x:c r="F32" t="n">
        <x:v>43.172180577662026</x:v>
      </x:c>
      <x:c r="G32" t="n">
        <x:v>93.25191004774999</x:v>
      </x:c>
      <x:c r="H32" t="n">
        <x:v>42.235808149500045</x:v>
      </x:c>
      <x:c r="I32" t="n">
        <x:v>6</x:v>
      </x:c>
      <x:c r="J32" t="str">
        <x:v>interior_minimum</x:v>
      </x:c>
      <x:c r="K32" t="str">
        <x:v>valid</x:v>
      </x:c>
      <x:c r="L32" t="str">
        <x:v>valid</x:v>
      </x:c>
      <x:c r="M32" t="str">
        <x:v>Uopt/minCOT/MO2_at_uopt were derived from the observed active-speed COT minimum in the MO2/COT sheets; original Uopt&amp;Ucrit Uopt values are shown for comparison.</x:v>
      </x:c>
    </x:row>
    <x:row r="33">
      <x:c r="A33" t="str">
        <x:v>Eel 22</x:v>
      </x:c>
      <x:c r="B33" t="str">
        <x:v>SW18</x:v>
      </x:c>
      <x:c r="C33" t="n">
        <x:v>0.71</x:v>
      </x:c>
      <x:c r="D33" t="n">
        <x:v>1.0416666666666667</x:v>
      </x:c>
      <x:c r="E33" t="n">
        <x:v>0.7</x:v>
      </x:c>
      <x:c r="F33" t="n">
        <x:v>29.99588625291706</x:v>
      </x:c>
      <x:c r="G33" t="n">
        <x:v>75.58963335735099</x:v>
      </x:c>
      <x:c r="H33" t="n">
        <x:v>46.113058422913916</x:v>
      </x:c>
      <x:c r="I33" t="n">
        <x:v>7</x:v>
      </x:c>
      <x:c r="J33" t="str">
        <x:v>interior_minimum</x:v>
      </x:c>
      <x:c r="K33" t="str">
        <x:v>valid</x:v>
      </x:c>
      <x:c r="L33" t="str">
        <x:v>valid</x:v>
      </x:c>
      <x:c r="M33" t="str">
        <x:v>Uopt/minCOT/MO2_at_uopt were derived from the observed active-speed COT minimum in the MO2/COT sheets; original Uopt&amp;Ucrit Uopt values are shown for comparison.</x:v>
      </x:c>
    </x:row>
    <x:row r="34">
      <x:c r="A34" t="str">
        <x:v>Eel 23</x:v>
      </x:c>
      <x:c r="B34" t="str">
        <x:v>SW18</x:v>
      </x:c>
      <x:c r="C34" t="n">
        <x:v>0.59</x:v>
      </x:c>
      <x:c r="D34" t="n">
        <x:v>0.625</x:v>
      </x:c>
      <x:c r="E34" t="n">
        <x:v>0.6</x:v>
      </x:c>
      <x:c r="F34" t="n">
        <x:v>41.97459624701469</x:v>
      </x:c>
      <x:c r="G34" t="n">
        <x:v>90.66512789355173</x:v>
      </x:c>
      <x:c r="H34" t="n">
        <x:v>74.89727671983626</x:v>
      </x:c>
      <x:c r="I34" t="n">
        <x:v>3</x:v>
      </x:c>
      <x:c r="J34" t="str">
        <x:v>highest_observed_speed</x:v>
      </x:c>
      <x:c r="K34" t="str">
        <x:v>boundary_estimate</x:v>
      </x:c>
      <x:c r="L34" t="str">
        <x:v>valid</x:v>
      </x:c>
      <x:c r="M34" t="str">
        <x:v>Uopt/minCOT/MO2_at_uopt were derived from the observed active-speed COT minimum in the MO2/COT sheets; original Uopt&amp;Ucrit Uopt values are shown for comparison.</x:v>
      </x:c>
    </x:row>
    <x:row r="35">
      <x:c r="A35" t="str">
        <x:v>Eel 24</x:v>
      </x:c>
      <x:c r="B35" t="str">
        <x:v>SW18</x:v>
      </x:c>
      <x:c r="C35" t="n">
        <x:v>0.5</x:v>
      </x:c>
      <x:c r="D35" t="n">
        <x:v>0.625</x:v>
      </x:c>
      <x:c r="E35" t="n">
        <x:v>0.5</x:v>
      </x:c>
      <x:c r="F35" t="n">
        <x:v>40.82097654333827</x:v>
      </x:c>
      <x:c r="G35" t="n">
        <x:v>73.47775777800888</x:v>
      </x:c>
      <x:c r="H35" t="n">
        <x:v>48.87688185645678</x:v>
      </x:c>
      <x:c r="I35" t="n">
        <x:v>3</x:v>
      </x:c>
      <x:c r="J35" t="str">
        <x:v>interior_minimum</x:v>
      </x:c>
      <x:c r="K35" t="str">
        <x:v>valid</x:v>
      </x:c>
      <x:c r="L35" t="str">
        <x:v>valid</x:v>
      </x:c>
      <x:c r="M35" t="str">
        <x:v>Uopt/minCOT/MO2_at_uopt were derived from the observed active-speed COT minimum in the MO2/COT sheets; original Uopt&amp;Ucrit Uopt values are shown for comparison.</x:v>
      </x:c>
    </x:row>
    <x:row r="36">
      <x:c r="A36" t="str">
        <x:v>Eel 25</x:v>
      </x:c>
      <x:c r="B36" t="str">
        <x:v>SW18</x:v>
      </x:c>
      <x:c r="C36" t="n">
        <x:v>0.5</x:v>
      </x:c>
      <x:c r="D36" t="n">
        <x:v>0.625</x:v>
      </x:c>
      <x:c r="E36" t="n">
        <x:v>0.4</x:v>
      </x:c>
      <x:c r="F36" t="n">
        <x:v>50.45382049457544</x:v>
      </x:c>
      <x:c r="G36" t="n">
        <x:v>72.65350151218864</x:v>
      </x:c>
      <x:c r="H36" t="n">
        <x:v>47.073320367622586</x:v>
      </x:c>
      <x:c r="I36" t="n">
        <x:v>3</x:v>
      </x:c>
      <x:c r="J36" t="str">
        <x:v>lowest_active_speed</x:v>
      </x:c>
      <x:c r="K36" t="str">
        <x:v>boundary_estimate</x:v>
      </x:c>
      <x:c r="L36" t="str">
        <x:v>valid</x:v>
      </x:c>
      <x:c r="M36" t="str">
        <x:v>Uopt/minCOT/MO2_at_uopt were derived from the observed active-speed COT minimum in the MO2/COT sheets; original Uopt&amp;Ucrit Uopt values are shown for comparison.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0" hidden="0" customWidth="1"/>
  </x:cols>
  <x:sheetData>
    <x:row r="1">
      <x:c r="A1" s="57" t="str">
        <x:v>Table S2 notes</x:v>
      </x:c>
      <x:c r="B1" s="57" t="str"/>
    </x:row>
    <x:row r="2">
      <x:c r="A2" s="29" t="str">
        <x:v>Row unit</x:v>
      </x:c>
      <x:c r="B2" s="29" t="str">
        <x:v>Each row represents one individual × one experimental trial.</x:v>
      </x:c>
    </x:row>
    <x:row r="3">
      <x:c r="A3" s="29" t="str">
        <x:v>Date precision</x:v>
      </x:c>
      <x:c r="B3" s="29" t="str">
        <x:v>Experiment dates are reported to month-level precision (YYYY-MM). Day-level dates are not used.</x:v>
      </x:c>
    </x:row>
    <x:row r="4">
      <x:c r="A4" s="29" t="str">
        <x:v>FW yellow-eel trial order</x:v>
      </x:c>
      <x:c r="B4" s="29" t="str">
        <x:v>For Eel 1–10, FW25 was conducted first, followed by FW18.</x:v>
      </x:c>
    </x:row>
    <x:row r="5">
      <x:c r="A5" s="29" t="str">
        <x:v>FW25 holding</x:v>
      </x:c>
      <x:c r="B5" s="29" t="str">
        <x:v>The initial laboratory holding condition for FW25 trials was FW25 (freshwater, 25 °C).</x:v>
      </x:c>
    </x:row>
    <x:row r="6">
      <x:c r="A6" s="29" t="str">
        <x:v>FW18 fasting history</x:v>
      </x:c>
      <x:c r="B6" s="29" t="str">
        <x:v>For FW18 trials, fasting started 3 days before the preceding FW25 trial and continued throughout the transition/acclimation period to FW18.</x:v>
      </x:c>
    </x:row>
    <x:row r="7">
      <x:c r="A7" s="29" t="str">
        <x:v>FW18 fasting duration</x:v>
      </x:c>
      <x:c r="B7" s="29" t="str">
        <x:v>For FW18 trials, fasting_duration_days = 3 + inter_trial_interval_days.</x:v>
      </x:c>
    </x:row>
    <x:row r="8">
      <x:c r="A8" s="29" t="str">
        <x:v>SW18 previous trial</x:v>
      </x:c>
      <x:c r="B8" s="29" t="str">
        <x:v>SW18 individuals had no previous swim-tunnel trial; previous_trial_condition is coded as none.</x:v>
      </x:c>
    </x:row>
    <x:row r="9">
      <x:c r="A9" s="29" t="str">
        <x:v>Reconstructed variables</x:v>
      </x:c>
      <x:c r="B9" s="29" t="str">
        <x:v>uf_reconstructed_m_s and tf_reconstructed_min were reconstructed from Ucrit; they are not direct observations.</x:v>
      </x:c>
    </x:row>
    <x:row r="10">
      <x:c r="A10" s="29" t="str">
        <x:v>Uopt/minCOT definition</x:v>
      </x:c>
      <x:c r="B10" s="29" t="str">
        <x:v>uopt_m_s and mincot are based on the observed minimum COT among active-speed measurements (≥0.4 m s−1).</x:v>
      </x:c>
    </x:row>
    <x:row r="11">
      <x:c r="A11" s="29" t="str">
        <x:v>Status flags</x:v>
      </x:c>
      <x:c r="B11" s="29" t="str">
        <x:v>boundary_estimate, single_active_point, not_estimable, protocol_check and boundary_ambiguous should be considered during interpretation.</x:v>
      </x:c>
    </x:row>
    <x:row r="12">
      <x:c r="A12" t="str">
        <x:v>Source verification</x:v>
      </x:c>
      <x:c r="B12" t="str">
        <x:v>Columns U onward were checked against the latest uploaded データ整理・再解析.xlsx file.</x:v>
      </x:c>
    </x:row>
    <x:row r="13">
      <x:c r="A13" t="str">
        <x:v>Numeric cross-check</x:v>
      </x:c>
      <x:c r="B13" t="str">
        <x:v>No numeric discrepancies were found for columns U–AD when recalculated from Uopt&amp;Ucrit, MO2, and COT source sheets.</x:v>
      </x:c>
    </x:row>
    <x:row r="14">
      <x:c r="A14" t="str">
        <x:v>Eel11 SW18</x:v>
      </x:c>
      <x:c r="B14" t="str">
        <x:v>Crit_m/s is NaN in the source Uopt&amp;Ucrit sheet; ucrit_status is coded as not_estimable.</x:v>
      </x:c>
    </x:row>
    <x:row r="15">
      <x:c r="A15" t="str">
        <x:v>QC sheet</x:v>
      </x:c>
      <x:c r="B15" t="str">
        <x:v>See QC_check for source matching, status counts, and consistency checks.</x:v>
      </x:c>
    </x:row>
    <x:row r="16">
      <x:c r="A16"/>
      <x:c r="B16"/>
    </x:row>
    <x:row r="17">
      <x:c r="A17"/>
      <x:c r="B17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8" hidden="0" customWidth="1"/>
    <x:col min="3" max="3" width="42" hidden="0" customWidth="1"/>
    <x:col min="4" max="4" width="26" hidden="0" customWidth="1"/>
    <x:col min="5" max="5" width="26" hidden="0" customWidth="1"/>
  </x:cols>
  <x:sheetData>
    <x:row r="1">
      <x:c r="A1" s="55" t="str">
        <x:v>Table S2 verification summary</x:v>
      </x:c>
      <x:c r="B1" s="55"/>
      <x:c r="C1" s="55"/>
      <x:c r="D1" s="29"/>
      <x:c r="E1" s="29"/>
    </x:row>
    <x:row r="2">
      <x:c r="A2" s="52" t="str">
        <x:v>Workbook checked against latest uploaded source file: データ整理・再解析.xlsx</x:v>
      </x:c>
      <x:c r="B2" s="52"/>
      <x:c r="C2" s="52"/>
    </x:row>
    <x:row r="4">
      <x:c r="A4" s="54" t="str">
        <x:v>Check</x:v>
      </x:c>
      <x:c r="B4" s="54" t="str">
        <x:v>Result</x:v>
      </x:c>
      <x:c r="C4" s="54" t="str">
        <x:v>Expected / note</x:v>
      </x:c>
      <x:c r="D4" s="54"/>
      <x:c r="E4" s="54"/>
    </x:row>
    <x:row r="5">
      <x:c r="A5" t="str">
        <x:v>Total trial rows</x:v>
      </x:c>
      <x:c r="B5" t="n">
        <x:v>35</x:v>
      </x:c>
      <x:c r="C5" t="str">
        <x:v>Expected 35 rows (10 FW25 + 10 FW18 + 15 SW18).</x:v>
      </x:c>
    </x:row>
    <x:row r="6">
      <x:c r="A6" t="str">
        <x:v>Unique trial IDs</x:v>
      </x:c>
      <x:c r="B6" t="n">
        <x:v>35</x:v>
      </x:c>
      <x:c r="C6" t="str">
        <x:v>Should equal total trial rows.</x:v>
      </x:c>
    </x:row>
    <x:row r="7">
      <x:c r="A7" t="str">
        <x:v>FW25 rows</x:v>
      </x:c>
      <x:c r="B7" t="n">
        <x:v>10</x:v>
      </x:c>
      <x:c r="C7" t="str">
        <x:v>First trial for Eel 1–10.</x:v>
      </x:c>
    </x:row>
    <x:row r="8">
      <x:c r="A8" t="str">
        <x:v>FW18 rows</x:v>
      </x:c>
      <x:c r="B8" t="n">
        <x:v>10</x:v>
      </x:c>
      <x:c r="C8" t="str">
        <x:v>Second trial for Eel 1–10.</x:v>
      </x:c>
    </x:row>
    <x:row r="9">
      <x:c r="A9" t="str">
        <x:v>SW18 rows</x:v>
      </x:c>
      <x:c r="B9" t="n">
        <x:v>15</x:v>
      </x:c>
      <x:c r="C9" t="str">
        <x:v>Single trial for Eel 11–25.</x:v>
      </x:c>
    </x:row>
    <x:row r="10">
      <x:c r="A10" t="str">
        <x:v>FW25 initial_lab_holding_condition = FW25</x:v>
      </x:c>
      <x:c r="B10" t="n">
        <x:v>10</x:v>
      </x:c>
      <x:c r="C10" t="str">
        <x:v>Should be 10.</x:v>
      </x:c>
    </x:row>
    <x:row r="11">
      <x:c r="A11" t="str">
        <x:v>FW25 trial_order = 1</x:v>
      </x:c>
      <x:c r="B11" t="n">
        <x:v>10</x:v>
      </x:c>
      <x:c r="C11" t="str">
        <x:v>Should be 10.</x:v>
      </x:c>
    </x:row>
    <x:row r="12">
      <x:c r="A12" t="str">
        <x:v>FW25 fasting_duration_days = 3</x:v>
      </x:c>
      <x:c r="B12" t="n">
        <x:v>10</x:v>
      </x:c>
      <x:c r="C12" t="str">
        <x:v>Should be 10.</x:v>
      </x:c>
    </x:row>
    <x:row r="13">
      <x:c r="A13" t="str">
        <x:v>FW18 initial_lab_holding_condition = FW25</x:v>
      </x:c>
      <x:c r="B13" t="n">
        <x:v>10</x:v>
      </x:c>
      <x:c r="C13" t="str">
        <x:v>Should be 10.</x:v>
      </x:c>
    </x:row>
    <x:row r="14">
      <x:c r="A14" t="str">
        <x:v>FW18 previous_trial_condition = FW25</x:v>
      </x:c>
      <x:c r="B14" t="n">
        <x:v>10</x:v>
      </x:c>
      <x:c r="C14" t="str">
        <x:v>Should be 10.</x:v>
      </x:c>
    </x:row>
    <x:row r="15">
      <x:c r="A15" t="str">
        <x:v>FW18 trial_order = 2</x:v>
      </x:c>
      <x:c r="B15" t="n">
        <x:v>10</x:v>
      </x:c>
      <x:c r="C15" t="str">
        <x:v>Should be 10.</x:v>
      </x:c>
    </x:row>
    <x:row r="16">
      <x:c r="A16" t="str">
        <x:v>FW18 fasting_duration_days = 3 + inter_trial_interval_days</x:v>
      </x:c>
      <x:c r="B16" t="n">
        <x:v>10</x:v>
      </x:c>
      <x:c r="C16" t="str">
        <x:v>Should be 10.</x:v>
      </x:c>
    </x:row>
    <x:row r="17">
      <x:c r="A17" t="str">
        <x:v>SW18 initial_lab_holding_condition = SW18</x:v>
      </x:c>
      <x:c r="B17" t="n">
        <x:v>15</x:v>
      </x:c>
      <x:c r="C17" t="str">
        <x:v>Should be 15.</x:v>
      </x:c>
    </x:row>
    <x:row r="18">
      <x:c r="A18" t="str">
        <x:v>SW18 previous_trial_condition = none</x:v>
      </x:c>
      <x:c r="B18" t="n">
        <x:v>15</x:v>
      </x:c>
      <x:c r="C18" t="str">
        <x:v>Should be 15.</x:v>
      </x:c>
    </x:row>
    <x:row r="19">
      <x:c r="A19" t="str">
        <x:v>SW18 fasting_duration_days = 3</x:v>
      </x:c>
      <x:c r="B19" t="n">
        <x:v>15</x:v>
      </x:c>
      <x:c r="C19" t="str">
        <x:v>Should be 15.</x:v>
      </x:c>
    </x:row>
    <x:row r="20">
      <x:c r="A20" t="str">
        <x:v>Numeric core mismatch count (columns U-AD)</x:v>
      </x:c>
      <x:c r="B20" t="n">
        <x:v>0</x:v>
      </x:c>
      <x:c r="C20" t="str">
        <x:v>Should be 0.</x:v>
      </x:c>
    </x:row>
    <x:row r="21">
      <x:c r="A21" t="str">
        <x:v>Status mismatch count (active/lowflow/Uopt flags)</x:v>
      </x:c>
      <x:c r="B21" t="n">
        <x:v>0</x:v>
      </x:c>
      <x:c r="C21" t="str">
        <x:v>Should be 0.</x:v>
      </x:c>
    </x:row>
    <x:row r="22">
      <x:c r="A22" t="str">
        <x:v>Ucrit status mismatch count</x:v>
      </x:c>
      <x:c r="B22" t="n">
        <x:v>0</x:v>
      </x:c>
      <x:c r="C22" t="str">
        <x:v>Eel11 SW18 source Crit_m/s is NaN; table uses not_estimable.</x:v>
      </x:c>
    </x:row>
    <x:row r="25">
      <x:c r="A25" s="54" t="str">
        <x:v>Source sheet</x:v>
      </x:c>
      <x:c r="B25" s="54" t="str">
        <x:v>Matched trial keys</x:v>
      </x:c>
      <x:c r="C25" s="54" t="str">
        <x:v>Missing keys from source</x:v>
      </x:c>
      <x:c r="D25" s="54" t="str">
        <x:v>Comment</x:v>
      </x:c>
      <x:c r="E25" s="54"/>
    </x:row>
    <x:row r="26">
      <x:c r="A26" t="str">
        <x:v>Uopt&amp;Ucrit</x:v>
      </x:c>
      <x:c r="B26" t="str">
        <x:v>35/35</x:v>
      </x:c>
      <x:c r="C26" t="str">
        <x:v>None</x:v>
      </x:c>
      <x:c r="D26" t="str">
        <x:v>All expected keys found.</x:v>
      </x:c>
    </x:row>
    <x:row r="27">
      <x:c r="A27" t="str">
        <x:v>MO2</x:v>
      </x:c>
      <x:c r="B27" t="str">
        <x:v>35/35</x:v>
      </x:c>
      <x:c r="C27" t="str">
        <x:v>None</x:v>
      </x:c>
      <x:c r="D27" t="str">
        <x:v>All expected keys found.</x:v>
      </x:c>
    </x:row>
    <x:row r="28">
      <x:c r="A28" t="str">
        <x:v>COT</x:v>
      </x:c>
      <x:c r="B28" t="str">
        <x:v>35/35</x:v>
      </x:c>
      <x:c r="C28" t="str">
        <x:v>None</x:v>
      </x:c>
      <x:c r="D28" t="str">
        <x:v>All expected keys found.</x:v>
      </x:c>
    </x:row>
    <x:row r="31">
      <x:c r="A31" s="54" t="str">
        <x:v>Field</x:v>
      </x:c>
      <x:c r="B31" s="54" t="str">
        <x:v>Category</x:v>
      </x:c>
      <x:c r="C31" s="54" t="str">
        <x:v>Count</x:v>
      </x:c>
      <x:c r="D31" s="54"/>
      <x:c r="E31" s="54"/>
    </x:row>
    <x:row r="32">
      <x:c r="A32" t="str">
        <x:v>ucrit_status</x:v>
      </x:c>
      <x:c r="B32" t="str">
        <x:v>boundary_ambiguous</x:v>
      </x:c>
      <x:c r="C32" t="n">
        <x:v>4</x:v>
      </x:c>
    </x:row>
    <x:row r="33">
      <x:c r="A33" t="str">
        <x:v>ucrit_status</x:v>
      </x:c>
      <x:c r="B33" t="str">
        <x:v>not_estimable</x:v>
      </x:c>
      <x:c r="C33" t="n">
        <x:v>1</x:v>
      </x:c>
    </x:row>
    <x:row r="34">
      <x:c r="A34" t="str">
        <x:v>ucrit_status</x:v>
      </x:c>
      <x:c r="B34" t="str">
        <x:v>protocol_check</x:v>
      </x:c>
      <x:c r="C34" t="n">
        <x:v>4</x:v>
      </x:c>
    </x:row>
    <x:row r="35">
      <x:c r="A35" t="str">
        <x:v>ucrit_status</x:v>
      </x:c>
      <x:c r="B35" t="str">
        <x:v>valid</x:v>
      </x:c>
      <x:c r="C35" t="n">
        <x:v>26</x:v>
      </x:c>
    </x:row>
    <x:row r="36">
      <x:c r="A36" t="str">
        <x:v>active_metrics_status</x:v>
      </x:c>
      <x:c r="B36" t="str">
        <x:v>boundary_estimate</x:v>
      </x:c>
      <x:c r="C36" t="n">
        <x:v>12</x:v>
      </x:c>
    </x:row>
    <x:row r="37">
      <x:c r="A37" t="str">
        <x:v>active_metrics_status</x:v>
      </x:c>
      <x:c r="B37" t="str">
        <x:v>not_estimable</x:v>
      </x:c>
      <x:c r="C37" t="n">
        <x:v>8</x:v>
      </x:c>
    </x:row>
    <x:row r="38">
      <x:c r="A38" t="str">
        <x:v>active_metrics_status</x:v>
      </x:c>
      <x:c r="B38" t="str">
        <x:v>single_active_point</x:v>
      </x:c>
      <x:c r="C38" t="n">
        <x:v>2</x:v>
      </x:c>
    </x:row>
    <x:row r="39">
      <x:c r="A39" t="str">
        <x:v>active_metrics_status</x:v>
      </x:c>
      <x:c r="B39" t="str">
        <x:v>valid</x:v>
      </x:c>
      <x:c r="C39" t="n">
        <x:v>13</x:v>
      </x:c>
    </x:row>
    <x:row r="40">
      <x:c r="A40" t="str">
        <x:v>lowflow_mo2_status</x:v>
      </x:c>
      <x:c r="B40" t="str">
        <x:v>not_estimable</x:v>
      </x:c>
      <x:c r="C40" t="n">
        <x:v>2</x:v>
      </x:c>
    </x:row>
    <x:row r="41">
      <x:c r="A41" t="str">
        <x:v>lowflow_mo2_status</x:v>
      </x:c>
      <x:c r="B41" t="str">
        <x:v>valid</x:v>
      </x:c>
      <x:c r="C41" t="n">
        <x:v>33</x:v>
      </x:c>
    </x:row>
    <x:row r="42">
      <x:c r="A42" t="str">
        <x:v>uopt_position_flag</x:v>
      </x:c>
      <x:c r="B42" t="str">
        <x:v>highest_observed_speed</x:v>
      </x:c>
      <x:c r="C42" t="n">
        <x:v>6</x:v>
      </x:c>
    </x:row>
    <x:row r="43">
      <x:c r="A43" t="str">
        <x:v>uopt_position_flag</x:v>
      </x:c>
      <x:c r="B43" t="str">
        <x:v>interior_minimum</x:v>
      </x:c>
      <x:c r="C43" t="n">
        <x:v>13</x:v>
      </x:c>
    </x:row>
    <x:row r="44">
      <x:c r="A44" t="str">
        <x:v>uopt_position_flag</x:v>
      </x:c>
      <x:c r="B44" t="str">
        <x:v>lowest_active_speed</x:v>
      </x:c>
      <x:c r="C44" t="n">
        <x:v>6</x:v>
      </x:c>
    </x:row>
    <x:row r="45">
      <x:c r="A45" t="str">
        <x:v>uopt_position_flag</x:v>
      </x:c>
      <x:c r="B45" t="str">
        <x:v>not_estimable</x:v>
      </x:c>
      <x:c r="C45" t="n">
        <x:v>8</x:v>
      </x:c>
    </x:row>
    <x:row r="46">
      <x:c r="A46" t="str">
        <x:v>uopt_position_flag</x:v>
      </x:c>
      <x:c r="B46" t="str">
        <x:v>single_active_point</x:v>
      </x:c>
      <x:c r="C46" t="n">
        <x:v>2</x:v>
      </x:c>
    </x:row>
    <x:row r="49">
      <x:c r="A49" s="54" t="str">
        <x:v>fish_code</x:v>
      </x:c>
      <x:c r="B49" s="54" t="str">
        <x:v>experimental_condition</x:v>
      </x:c>
      <x:c r="C49" s="54" t="str">
        <x:v>column</x:v>
      </x:c>
      <x:c r="D49" s="54" t="str">
        <x:v>table_value</x:v>
      </x:c>
      <x:c r="E49" s="54" t="str">
        <x:v>source_recalculated_value</x:v>
      </x:c>
    </x:row>
    <x:row r="50">
      <x:c r="A50" t="str">
        <x:v>None</x:v>
      </x:c>
      <x:c r="B50"/>
      <x:c r="C50"/>
      <x:c r="D50"/>
      <x:c r="E50"/>
    </x:row>
    <x:row r="53">
      <x:c r="A53" s="54" t="str">
        <x:v>fish_code</x:v>
      </x:c>
      <x:c r="B53" s="54" t="str">
        <x:v>experimental_condition</x:v>
      </x:c>
      <x:c r="C53" s="54" t="str">
        <x:v>column</x:v>
      </x:c>
      <x:c r="D53" s="54" t="str">
        <x:v>table_value</x:v>
      </x:c>
      <x:c r="E53" s="54" t="str">
        <x:v>source_recalculated_value</x:v>
      </x:c>
    </x:row>
    <x:row r="54">
      <x:c r="A54" t="str">
        <x:v>None</x:v>
      </x:c>
      <x:c r="B54"/>
      <x:c r="C54"/>
      <x:c r="D54"/>
      <x:c r="E54"/>
    </x:row>
  </x:sheetData>
  <x:pageMargins left="0.7" right="0.7" top="0.75" bottom="0.75" header="0.3" footer="0.3"/>
</x:worksheet>
</file>